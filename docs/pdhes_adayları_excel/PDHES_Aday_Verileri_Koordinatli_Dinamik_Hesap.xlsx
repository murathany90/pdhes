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yazilim_projeler\zPompaj_DHES\docs\pdhes_adayları_excel\"/>
    </mc:Choice>
  </mc:AlternateContent>
  <xr:revisionPtr revIDLastSave="0" documentId="13_ncr:1_{2E68A87D-4C47-43F3-8990-FA74AE29118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Aday_Verileri" sheetId="1" r:id="rId1"/>
    <sheet name="Koordinatlar_Kotlar" sheetId="2" r:id="rId2"/>
    <sheet name="Input_Parametreleri" sheetId="3" r:id="rId3"/>
    <sheet name="Hesaplama_Yontemi" sheetId="4" r:id="rId4"/>
    <sheet name="Skor_Hesap" sheetId="5" r:id="rId5"/>
    <sheet name="Kaynaklar_Notla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5" l="1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E2" i="5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AE16" i="1"/>
  <c r="AD16" i="1"/>
  <c r="Z16" i="1"/>
  <c r="Y16" i="1"/>
  <c r="W16" i="1"/>
  <c r="V16" i="1"/>
  <c r="AB16" i="1" s="1"/>
  <c r="U16" i="1"/>
  <c r="T16" i="1"/>
  <c r="R16" i="1"/>
  <c r="Q16" i="1"/>
  <c r="G16" i="1"/>
  <c r="AE15" i="1"/>
  <c r="AD15" i="1"/>
  <c r="Z15" i="1"/>
  <c r="Y15" i="1"/>
  <c r="W15" i="1"/>
  <c r="V15" i="1"/>
  <c r="AB15" i="1" s="1"/>
  <c r="U15" i="1"/>
  <c r="T15" i="1"/>
  <c r="R15" i="1"/>
  <c r="Q15" i="1"/>
  <c r="G15" i="1"/>
  <c r="AE14" i="1"/>
  <c r="AD14" i="1"/>
  <c r="Z14" i="1"/>
  <c r="Y14" i="1"/>
  <c r="W14" i="1"/>
  <c r="V14" i="1"/>
  <c r="AB14" i="1" s="1"/>
  <c r="U14" i="1"/>
  <c r="T14" i="1"/>
  <c r="R14" i="1"/>
  <c r="Q14" i="1"/>
  <c r="G14" i="1"/>
  <c r="AE13" i="1"/>
  <c r="AD13" i="1"/>
  <c r="Z13" i="1"/>
  <c r="Y13" i="1"/>
  <c r="W13" i="1"/>
  <c r="V13" i="1"/>
  <c r="AB13" i="1" s="1"/>
  <c r="U13" i="1"/>
  <c r="T13" i="1"/>
  <c r="R13" i="1"/>
  <c r="Q13" i="1"/>
  <c r="P13" i="1"/>
  <c r="AG13" i="1" s="1"/>
  <c r="AH13" i="1" s="1"/>
  <c r="N13" i="1"/>
  <c r="G13" i="1"/>
  <c r="X13" i="1" s="1"/>
  <c r="AE12" i="1"/>
  <c r="AD12" i="1"/>
  <c r="Z12" i="1"/>
  <c r="Y12" i="1"/>
  <c r="W12" i="1"/>
  <c r="V12" i="1"/>
  <c r="AB12" i="1" s="1"/>
  <c r="U12" i="1"/>
  <c r="T12" i="1"/>
  <c r="R12" i="1"/>
  <c r="Q12" i="1"/>
  <c r="P12" i="1"/>
  <c r="N12" i="1"/>
  <c r="G12" i="1"/>
  <c r="AE11" i="1"/>
  <c r="AD11" i="1"/>
  <c r="Z11" i="1"/>
  <c r="Y11" i="1"/>
  <c r="W11" i="1"/>
  <c r="V11" i="1"/>
  <c r="AB11" i="1" s="1"/>
  <c r="U11" i="1"/>
  <c r="T11" i="1"/>
  <c r="Q11" i="1"/>
  <c r="P11" i="1"/>
  <c r="N11" i="1"/>
  <c r="G11" i="1"/>
  <c r="AE10" i="1"/>
  <c r="AD10" i="1"/>
  <c r="Z10" i="1"/>
  <c r="Y10" i="1"/>
  <c r="W10" i="1"/>
  <c r="V10" i="1"/>
  <c r="AB10" i="1" s="1"/>
  <c r="U10" i="1"/>
  <c r="T10" i="1"/>
  <c r="R10" i="1"/>
  <c r="Q10" i="1"/>
  <c r="P10" i="1"/>
  <c r="N10" i="1"/>
  <c r="G10" i="1"/>
  <c r="AH9" i="1"/>
  <c r="AE9" i="1"/>
  <c r="AD9" i="1"/>
  <c r="Z9" i="1"/>
  <c r="Y9" i="1"/>
  <c r="W9" i="1"/>
  <c r="V9" i="1"/>
  <c r="AB9" i="1" s="1"/>
  <c r="U9" i="1"/>
  <c r="T9" i="1"/>
  <c r="R9" i="1"/>
  <c r="Q9" i="1"/>
  <c r="P9" i="1"/>
  <c r="AG9" i="1" s="1"/>
  <c r="N9" i="1"/>
  <c r="G9" i="1"/>
  <c r="AE8" i="1"/>
  <c r="AD8" i="1"/>
  <c r="Z8" i="1"/>
  <c r="Y8" i="1"/>
  <c r="W8" i="1"/>
  <c r="V8" i="1"/>
  <c r="AB8" i="1" s="1"/>
  <c r="U8" i="1"/>
  <c r="T8" i="1"/>
  <c r="Q8" i="1"/>
  <c r="P8" i="1"/>
  <c r="N8" i="1"/>
  <c r="G8" i="1"/>
  <c r="AE7" i="1"/>
  <c r="AD7" i="1"/>
  <c r="Z7" i="1"/>
  <c r="Y7" i="1"/>
  <c r="W7" i="1"/>
  <c r="V7" i="1"/>
  <c r="AB7" i="1" s="1"/>
  <c r="U7" i="1"/>
  <c r="T7" i="1"/>
  <c r="Q7" i="1"/>
  <c r="P7" i="1"/>
  <c r="N7" i="1"/>
  <c r="G7" i="1"/>
  <c r="AE6" i="1"/>
  <c r="AD6" i="1"/>
  <c r="Z6" i="1"/>
  <c r="Y6" i="1"/>
  <c r="W6" i="1"/>
  <c r="V6" i="1"/>
  <c r="AB6" i="1" s="1"/>
  <c r="U6" i="1"/>
  <c r="T6" i="1"/>
  <c r="Q6" i="1"/>
  <c r="P6" i="1"/>
  <c r="N6" i="1"/>
  <c r="G6" i="1"/>
  <c r="AH5" i="1"/>
  <c r="AE5" i="1"/>
  <c r="AD5" i="1"/>
  <c r="Z5" i="1"/>
  <c r="Y5" i="1"/>
  <c r="W5" i="1"/>
  <c r="V5" i="1"/>
  <c r="AB5" i="1" s="1"/>
  <c r="U5" i="1"/>
  <c r="T5" i="1"/>
  <c r="Q5" i="1"/>
  <c r="P5" i="1"/>
  <c r="AG5" i="1" s="1"/>
  <c r="N5" i="1"/>
  <c r="G5" i="1"/>
  <c r="AE4" i="1"/>
  <c r="AD4" i="1"/>
  <c r="Z4" i="1"/>
  <c r="Y4" i="1"/>
  <c r="W4" i="1"/>
  <c r="V4" i="1"/>
  <c r="AB4" i="1" s="1"/>
  <c r="U4" i="1"/>
  <c r="T4" i="1"/>
  <c r="Q4" i="1"/>
  <c r="P4" i="1"/>
  <c r="N4" i="1"/>
  <c r="G4" i="1"/>
  <c r="AE3" i="1"/>
  <c r="AD3" i="1"/>
  <c r="Z3" i="1"/>
  <c r="Y3" i="1"/>
  <c r="W3" i="1"/>
  <c r="V3" i="1"/>
  <c r="AB3" i="1" s="1"/>
  <c r="U3" i="1"/>
  <c r="T3" i="1"/>
  <c r="Q3" i="1"/>
  <c r="P3" i="1"/>
  <c r="N3" i="1"/>
  <c r="G3" i="1"/>
  <c r="AE2" i="1"/>
  <c r="AD2" i="1"/>
  <c r="Z2" i="1"/>
  <c r="Y2" i="1"/>
  <c r="W2" i="1"/>
  <c r="U2" i="1"/>
  <c r="T2" i="1"/>
  <c r="Q2" i="1"/>
  <c r="P2" i="1"/>
  <c r="N2" i="1"/>
  <c r="G2" i="1"/>
  <c r="AA2" i="1" s="1"/>
  <c r="C5" i="5" l="1"/>
  <c r="AI9" i="1"/>
  <c r="AA4" i="1"/>
  <c r="AC4" i="1" s="1"/>
  <c r="AF4" i="1" s="1"/>
  <c r="S4" i="1"/>
  <c r="AA7" i="1"/>
  <c r="AC7" i="1" s="1"/>
  <c r="AF7" i="1" s="1"/>
  <c r="S7" i="1"/>
  <c r="AA16" i="1"/>
  <c r="AC16" i="1" s="1"/>
  <c r="AF16" i="1" s="1"/>
  <c r="S16" i="1"/>
  <c r="AG2" i="1"/>
  <c r="AH2" i="1" s="1"/>
  <c r="X4" i="1"/>
  <c r="C3" i="5"/>
  <c r="AG3" i="1"/>
  <c r="AH3" i="1" s="1"/>
  <c r="C4" i="5"/>
  <c r="AG4" i="1"/>
  <c r="AH4" i="1" s="1"/>
  <c r="AG6" i="1"/>
  <c r="AH6" i="1" s="1"/>
  <c r="C7" i="5"/>
  <c r="AG7" i="1"/>
  <c r="AH7" i="1" s="1"/>
  <c r="C8" i="5"/>
  <c r="AG8" i="1"/>
  <c r="AH8" i="1" s="1"/>
  <c r="C10" i="5"/>
  <c r="AG10" i="1"/>
  <c r="AH10" i="1" s="1"/>
  <c r="AG11" i="1"/>
  <c r="AH11" i="1" s="1"/>
  <c r="C12" i="5"/>
  <c r="AG12" i="1"/>
  <c r="AH12" i="1" s="1"/>
  <c r="C14" i="5"/>
  <c r="C15" i="5"/>
  <c r="C16" i="5"/>
  <c r="AI13" i="1"/>
  <c r="AA6" i="1"/>
  <c r="AC6" i="1" s="1"/>
  <c r="AF6" i="1" s="1"/>
  <c r="S6" i="1"/>
  <c r="AA9" i="1"/>
  <c r="AC9" i="1" s="1"/>
  <c r="AF9" i="1" s="1"/>
  <c r="AJ9" i="1" s="1"/>
  <c r="AK9" i="1" s="1"/>
  <c r="D9" i="5" s="1"/>
  <c r="S9" i="1"/>
  <c r="AA10" i="1"/>
  <c r="AC10" i="1" s="1"/>
  <c r="AF10" i="1" s="1"/>
  <c r="S10" i="1"/>
  <c r="AA11" i="1"/>
  <c r="AC11" i="1" s="1"/>
  <c r="AF11" i="1" s="1"/>
  <c r="S11" i="1"/>
  <c r="AA12" i="1"/>
  <c r="AC12" i="1" s="1"/>
  <c r="AF12" i="1" s="1"/>
  <c r="S12" i="1"/>
  <c r="AA14" i="1"/>
  <c r="AC14" i="1" s="1"/>
  <c r="AF14" i="1" s="1"/>
  <c r="S14" i="1"/>
  <c r="AA15" i="1"/>
  <c r="AC15" i="1" s="1"/>
  <c r="AF15" i="1" s="1"/>
  <c r="S15" i="1"/>
  <c r="X6" i="1"/>
  <c r="X7" i="1"/>
  <c r="X9" i="1"/>
  <c r="X10" i="1"/>
  <c r="X11" i="1"/>
  <c r="X15" i="1"/>
  <c r="X16" i="1"/>
  <c r="C9" i="5"/>
  <c r="R3" i="1"/>
  <c r="R8" i="1"/>
  <c r="R11" i="1"/>
  <c r="C11" i="5" s="1"/>
  <c r="V2" i="1"/>
  <c r="AB2" i="1" s="1"/>
  <c r="AC2" i="1" s="1"/>
  <c r="AF2" i="1" s="1"/>
  <c r="AI5" i="1"/>
  <c r="AA3" i="1"/>
  <c r="AC3" i="1" s="1"/>
  <c r="AF3" i="1" s="1"/>
  <c r="S3" i="1"/>
  <c r="AA5" i="1"/>
  <c r="AC5" i="1" s="1"/>
  <c r="AF5" i="1" s="1"/>
  <c r="S5" i="1"/>
  <c r="AA8" i="1"/>
  <c r="AC8" i="1" s="1"/>
  <c r="AF8" i="1" s="1"/>
  <c r="S8" i="1"/>
  <c r="AA13" i="1"/>
  <c r="AC13" i="1" s="1"/>
  <c r="AF13" i="1" s="1"/>
  <c r="S13" i="1"/>
  <c r="X3" i="1"/>
  <c r="X5" i="1"/>
  <c r="X14" i="1"/>
  <c r="R2" i="1"/>
  <c r="C2" i="5" s="1"/>
  <c r="S2" i="1"/>
  <c r="R4" i="1"/>
  <c r="R5" i="1"/>
  <c r="R6" i="1"/>
  <c r="C6" i="5" s="1"/>
  <c r="R7" i="1"/>
  <c r="C13" i="5"/>
  <c r="X2" i="1"/>
  <c r="X8" i="1"/>
  <c r="X12" i="1"/>
  <c r="AJ13" i="1" l="1"/>
  <c r="AK13" i="1" s="1"/>
  <c r="D13" i="5" s="1"/>
  <c r="AI4" i="1"/>
  <c r="AI8" i="1"/>
  <c r="AJ8" i="1" s="1"/>
  <c r="AK8" i="1" s="1"/>
  <c r="D8" i="5" s="1"/>
  <c r="G8" i="5" s="1"/>
  <c r="H8" i="5" s="1"/>
  <c r="AI12" i="1"/>
  <c r="AJ12" i="1" s="1"/>
  <c r="AK12" i="1" s="1"/>
  <c r="D12" i="5" s="1"/>
  <c r="G12" i="5" s="1"/>
  <c r="H12" i="5" s="1"/>
  <c r="AI7" i="1"/>
  <c r="AJ7" i="1" s="1"/>
  <c r="AK7" i="1" s="1"/>
  <c r="D7" i="5" s="1"/>
  <c r="G7" i="5" s="1"/>
  <c r="H7" i="5" s="1"/>
  <c r="AJ4" i="1"/>
  <c r="AK4" i="1" s="1"/>
  <c r="D4" i="5" s="1"/>
  <c r="G4" i="5" s="1"/>
  <c r="H4" i="5" s="1"/>
  <c r="AI10" i="1"/>
  <c r="D16" i="5"/>
  <c r="G16" i="5" s="1"/>
  <c r="H16" i="5" s="1"/>
  <c r="D14" i="5"/>
  <c r="G14" i="5" s="1"/>
  <c r="H14" i="5" s="1"/>
  <c r="AI3" i="1"/>
  <c r="AJ5" i="1"/>
  <c r="AK5" i="1" s="1"/>
  <c r="D5" i="5" s="1"/>
  <c r="G5" i="5" s="1"/>
  <c r="H5" i="5" s="1"/>
  <c r="AJ11" i="1"/>
  <c r="AK11" i="1" s="1"/>
  <c r="D11" i="5" s="1"/>
  <c r="G11" i="5" s="1"/>
  <c r="H11" i="5" s="1"/>
  <c r="AI2" i="1"/>
  <c r="AJ2" i="1" s="1"/>
  <c r="AK2" i="1" s="1"/>
  <c r="D2" i="5" s="1"/>
  <c r="G2" i="5" s="1"/>
  <c r="H2" i="5" s="1"/>
  <c r="D15" i="5"/>
  <c r="G15" i="5" s="1"/>
  <c r="H15" i="5" s="1"/>
  <c r="G13" i="5"/>
  <c r="H13" i="5" s="1"/>
  <c r="G9" i="5"/>
  <c r="H9" i="5" s="1"/>
  <c r="AI11" i="1"/>
  <c r="AI6" i="1"/>
  <c r="AJ6" i="1" s="1"/>
  <c r="AK6" i="1" s="1"/>
  <c r="D6" i="5" s="1"/>
  <c r="G6" i="5" s="1"/>
  <c r="H6" i="5" s="1"/>
  <c r="AJ3" i="1"/>
  <c r="AK3" i="1" s="1"/>
  <c r="D3" i="5" s="1"/>
  <c r="G3" i="5" s="1"/>
  <c r="H3" i="5" s="1"/>
  <c r="AJ10" i="1"/>
  <c r="AK10" i="1" s="1"/>
  <c r="D10" i="5" s="1"/>
  <c r="G10" i="5" s="1"/>
  <c r="H10" i="5" s="1"/>
</calcChain>
</file>

<file path=xl/sharedStrings.xml><?xml version="1.0" encoding="utf-8"?>
<sst xmlns="http://schemas.openxmlformats.org/spreadsheetml/2006/main" count="480" uniqueCount="276">
  <si>
    <t>No</t>
  </si>
  <si>
    <t>Aday Adı</t>
  </si>
  <si>
    <t>Tip</t>
  </si>
  <si>
    <t>İl/Bölge</t>
  </si>
  <si>
    <t>Kapasite (MW)</t>
  </si>
  <si>
    <t>Depolama Süresi (saat)</t>
  </si>
  <si>
    <t>Enerji (MWh)</t>
  </si>
  <si>
    <t>Alt Rezervuar Adı</t>
  </si>
  <si>
    <t>Alt Enlem</t>
  </si>
  <si>
    <t>Alt Boylam</t>
  </si>
  <si>
    <t>Alt Rezervuar Kotu (m)</t>
  </si>
  <si>
    <t>Üst Enlem</t>
  </si>
  <si>
    <t>Üst Boylam</t>
  </si>
  <si>
    <t>Üst Rezervuar Kotu (m)</t>
  </si>
  <si>
    <t>Brüt Düşü (m)</t>
  </si>
  <si>
    <t>Net Düşü (m)</t>
  </si>
  <si>
    <t>Hidrolik Kayıp %</t>
  </si>
  <si>
    <t>Proje Debisi (m³/s)</t>
  </si>
  <si>
    <t>Üst Aktif Hacim (hm³)</t>
  </si>
  <si>
    <t>Çevrim Verimi %</t>
  </si>
  <si>
    <t>Pompa Gücü (MW)</t>
  </si>
  <si>
    <t>Pompaj Enerjisi/Çevrim (MWh)</t>
  </si>
  <si>
    <t>Yıllık Çevrim</t>
  </si>
  <si>
    <t>Yıllık Üretim (GWh)</t>
  </si>
  <si>
    <t>Pik Fiyat ($/MWh)</t>
  </si>
  <si>
    <t>Dip Fiyat ($/MWh)</t>
  </si>
  <si>
    <t>Brüt Üretim Geliri (M USD)</t>
  </si>
  <si>
    <t>Pompaj Enerji Maliyeti (M USD)</t>
  </si>
  <si>
    <t>Net Arbitraj Geliri (M USD)</t>
  </si>
  <si>
    <t>Yan Hizmet Geliri (M USD)</t>
  </si>
  <si>
    <t>Kapasite Mekanizması Geliri (M USD)</t>
  </si>
  <si>
    <t>Yıllık Toplam Gelir (M USD)</t>
  </si>
  <si>
    <t>CAPEX Yoğunluğu ($/kW)</t>
  </si>
  <si>
    <t>CAPEX (M USD)</t>
  </si>
  <si>
    <t>O&amp;M (M USD/yıl)</t>
  </si>
  <si>
    <t>Net Nakit Akımı (M USD/yıl)</t>
  </si>
  <si>
    <t>Geri Ödeme (yıl)</t>
  </si>
  <si>
    <t>Veri Güven Seviyesi</t>
  </si>
  <si>
    <t>Risk Faktörleri</t>
  </si>
  <si>
    <t>Hesap Notu</t>
  </si>
  <si>
    <t>Alt Google Earth</t>
  </si>
  <si>
    <t>Üst Google Earth</t>
  </si>
  <si>
    <t>Alt Kaynak URL</t>
  </si>
  <si>
    <t>Üst/PDHES Kaynak URL</t>
  </si>
  <si>
    <t>Gökçekaya PDHES</t>
  </si>
  <si>
    <t>Eskişehir</t>
  </si>
  <si>
    <t>Gökçekaya Barajı</t>
  </si>
  <si>
    <t>Orta</t>
  </si>
  <si>
    <t>Yüksek kurulu güç, büyük kazı/tünel; Sakarya havzası çevresel izin ve jeoloji riski</t>
  </si>
  <si>
    <t>Alt kotlar için yayımlanmış su kotu/koordinat kaynakları; üst nokta ön etüt yerleşim noktasıdır. Nihai mühendislik için 10-30 m DEM ve sahada doğrulama gerekir.</t>
  </si>
  <si>
    <t>https://earth.google.com/web/search/40.033060,31.016110</t>
  </si>
  <si>
    <t>https://earth.google.com/web/search/40.057000,30.979000</t>
  </si>
  <si>
    <t>https://www.enerjiatlasi.com/hidroelektrik/gokcekaya-baraji.html</t>
  </si>
  <si>
    <t>Ön etüt/harita doğrulaması gerekli; PDHES kavramsal tasarım bilgisi</t>
  </si>
  <si>
    <t>Sarıyar PDHES</t>
  </si>
  <si>
    <t>Ankara/Eskişehir</t>
  </si>
  <si>
    <t>Sarıyar Barajı</t>
  </si>
  <si>
    <t>Yüksek/Orta</t>
  </si>
  <si>
    <t>Sakarya havzası, mevcut HES/baraj işletmesiyle koordinasyon; yakın yerleşim ve jeoloji</t>
  </si>
  <si>
    <t>https://earth.google.com/web/search/40.040000,31.414167</t>
  </si>
  <si>
    <t>https://earth.google.com/web/search/40.048000,31.396000</t>
  </si>
  <si>
    <t>https://www.enerjiatlasi.com/hidroelektrik/sariyar-baraji.html</t>
  </si>
  <si>
    <t>https://www.emo.org.tr/ekler/05c493149542899_ek.pdf</t>
  </si>
  <si>
    <t>Altınkaya PDHES</t>
  </si>
  <si>
    <t>Samsun</t>
  </si>
  <si>
    <t>Altınkaya Barajı</t>
  </si>
  <si>
    <t>Çok büyük kapasite; tünel/şaft uzunluğu, kamulaştırma ve rezervuar alanı riski</t>
  </si>
  <si>
    <t>https://earth.google.com/web/search/41.363333,35.724167</t>
  </si>
  <si>
    <t>https://earth.google.com/web/search/41.382000,35.674000</t>
  </si>
  <si>
    <t>https://www.enerjiatlasi.com/hidroelektrik/altinkaya-baraji.html</t>
  </si>
  <si>
    <t>https://web.itu.edu.tr/aydere/PDHES_raporu_v2.pdf</t>
  </si>
  <si>
    <t>Bayramhacılı PDHES</t>
  </si>
  <si>
    <t>Kayseri/Nevşehir</t>
  </si>
  <si>
    <t>Bayramhacılı Barajı / Kızılırmak</t>
  </si>
  <si>
    <t>Kaynaklarda farklı koordinat/kot referansları var; yerel datum-ASL dönüşümü teyit edilmeli</t>
  </si>
  <si>
    <t>https://earth.google.com/web/search/38.786110,35.055830</t>
  </si>
  <si>
    <t>https://earth.google.com/web/search/38.793890,35.055000</t>
  </si>
  <si>
    <t>https://www.senerji.com/Sayfa-55-bayramhacili-hes.html</t>
  </si>
  <si>
    <t>430169.pdf; Çizelge 7.5 üst rezervuar/santral koordinatları</t>
  </si>
  <si>
    <t>Hasan Uğurlu PDHES</t>
  </si>
  <si>
    <t>Hasan Uğurlu Barajı</t>
  </si>
  <si>
    <t>Yeşilırmak havzası; yüksek düşü, şaft/yeraltı yapı riski</t>
  </si>
  <si>
    <t>https://earth.google.com/web/search/40.936110,36.646390</t>
  </si>
  <si>
    <t>https://earth.google.com/web/search/40.945000,36.631000</t>
  </si>
  <si>
    <t>https://www.enerjiatlasi.com/hidroelektrik/hasan-ugurlu-baraji.html</t>
  </si>
  <si>
    <t>Adıgüzel PDHES</t>
  </si>
  <si>
    <t>Denizli</t>
  </si>
  <si>
    <t>Adıgüzel Barajı</t>
  </si>
  <si>
    <t>Büyük Menderes havzası; tarım/sulama işletmesiyle koordinasyon ve yamaç stabilitesi</t>
  </si>
  <si>
    <t>https://earth.google.com/web/search/38.158890,29.205830</t>
  </si>
  <si>
    <t>https://earth.google.com/web/search/38.164000,29.198000</t>
  </si>
  <si>
    <t>https://www.enerjiatlasi.com/hidroelektrik/adiguzel-baraji.html</t>
  </si>
  <si>
    <t>Kargı PDHES</t>
  </si>
  <si>
    <t>Kargı Barajı</t>
  </si>
  <si>
    <t>Kapasite kaynaklarında farklılık olabilir; üst rezervuar kil havuz ve jeoteknik risk</t>
  </si>
  <si>
    <t>https://earth.google.com/web/search/39.966111,31.740000</t>
  </si>
  <si>
    <t>https://earth.google.com/web/search/39.978000,31.713000</t>
  </si>
  <si>
    <t>https://turkiyebarajlar.com/baraj/kargi-baraji-ve-hes</t>
  </si>
  <si>
    <t>Karacaören II PDHES</t>
  </si>
  <si>
    <t>Burdur</t>
  </si>
  <si>
    <t>Karacaören II Barajı</t>
  </si>
  <si>
    <t>Aksu/Antalya havzası; yüksek düşü için uzun su yolu ve çevresel duyarlılık</t>
  </si>
  <si>
    <t>https://earth.google.com/web/search/37.306667,30.808889</t>
  </si>
  <si>
    <t>https://earth.google.com/web/search/37.325000,30.780000</t>
  </si>
  <si>
    <t>https://www.enerjiatlasi.com/hidroelektrik/karacaoren-2-hes.html</t>
  </si>
  <si>
    <t>Ön etüt/harita doğrulaması gerekli</t>
  </si>
  <si>
    <t>Yamula PDHES</t>
  </si>
  <si>
    <t>Kayseri</t>
  </si>
  <si>
    <t>Yamula Barajı</t>
  </si>
  <si>
    <t>Kızılırmak havzası; yüksek rakım, kış işletmesi, jeoloji</t>
  </si>
  <si>
    <t>https://earth.google.com/web/search/38.903890,35.271110</t>
  </si>
  <si>
    <t>https://earth.google.com/web/search/38.914000,35.253000</t>
  </si>
  <si>
    <t>https://www.enerjiatlasi.com/hidroelektrik/yamula-baraji.html</t>
  </si>
  <si>
    <t>Oymapınar PDHES</t>
  </si>
  <si>
    <t>Antalya</t>
  </si>
  <si>
    <t>Oymapınar Barajı</t>
  </si>
  <si>
    <t>Turizm/doğa koruma, Manavgat havzası su yönetimi ve yeraltı santrali riski</t>
  </si>
  <si>
    <t>https://earth.google.com/web/search/36.908610,31.531670</t>
  </si>
  <si>
    <t>https://earth.google.com/web/search/36.916000,31.529000</t>
  </si>
  <si>
    <t>https://www.enerjiatlasi.com/hidroelektrik/oymapinar-baraji.html</t>
  </si>
  <si>
    <t>https://avesis.gazi.edu.tr/yonetilen-tez/76f89662-aaa8-4dd0-b548-7ce36fe99e7c/pompaj-depolamali-hidroelektrik-santral-tasarimi</t>
  </si>
  <si>
    <t>Aslantaş PDHES</t>
  </si>
  <si>
    <t>Osmaniye/Adana</t>
  </si>
  <si>
    <t>Aslantaş Barajı</t>
  </si>
  <si>
    <t>Ceyhan havzası, sulama/taşkın işletmesi, düşük düşü nedeniyle yüksek debi</t>
  </si>
  <si>
    <t>https://earth.google.com/web/search/37.272778,36.270833</t>
  </si>
  <si>
    <t>https://earth.google.com/web/search/37.281000,36.265000</t>
  </si>
  <si>
    <t>https://www.enerjiatlasi.com/hidroelektrik/aslantas-baraji.html</t>
  </si>
  <si>
    <t>Demirköprü PDHES</t>
  </si>
  <si>
    <t>Manisa</t>
  </si>
  <si>
    <t>Demirköprü Barajı</t>
  </si>
  <si>
    <t>Gediz havzası; tarımsal sulama, deprem/jeoteknik ve su tahsis riski</t>
  </si>
  <si>
    <t>https://earth.google.com/web/search/38.616667,28.311667</t>
  </si>
  <si>
    <t>https://earth.google.com/web/search/38.624000,28.298000</t>
  </si>
  <si>
    <t>https://www.enerjiatlasi.com/hidroelektrik/demirkopru-baraji.html</t>
  </si>
  <si>
    <t>Ön etüt/harita doğrulaması gerekli; eski PDHES listesi notu</t>
  </si>
  <si>
    <t>Taşucu-Gülnar Deniz Suyu PSPP</t>
  </si>
  <si>
    <t>Deniz suyu PDHES</t>
  </si>
  <si>
    <t>Mersin</t>
  </si>
  <si>
    <t>Akdeniz / Taşucu kıyısı</t>
  </si>
  <si>
    <t>https://earth.google.com/web/search/36.230000,33.800000</t>
  </si>
  <si>
    <t>https://earth.google.com/web/search/36.285000,33.844000</t>
  </si>
  <si>
    <t>Deniz seviyesi kabulü; Google Earth konum kontrolü gerekli</t>
  </si>
  <si>
    <t>Ön etüt/harita doğrulaması gerekli; deniz suyu PDHES taraması</t>
  </si>
  <si>
    <t>Bozyazı-Anamur Deniz Suyu PSPP</t>
  </si>
  <si>
    <t>Akdeniz / Anamur-Bozyazı kıyısı</t>
  </si>
  <si>
    <t>https://earth.google.com/web/search/36.097000,32.980000</t>
  </si>
  <si>
    <t>https://earth.google.com/web/search/36.165000,33.020000</t>
  </si>
  <si>
    <t>Karaburun Sırtı Deniz Suyu PSPP</t>
  </si>
  <si>
    <t>İzmir</t>
  </si>
  <si>
    <t>Ege Denizi / Karaburun kıyısı</t>
  </si>
  <si>
    <t>https://earth.google.com/web/search/38.629000,26.570000</t>
  </si>
  <si>
    <t>https://earth.google.com/web/search/38.660000,26.610000</t>
  </si>
  <si>
    <t>Alt Rezervuar</t>
  </si>
  <si>
    <t>Alt Kotu (m)</t>
  </si>
  <si>
    <t>Üst Kotu (m)</t>
  </si>
  <si>
    <t>Yaklaşık Yatay Mesafe (km)</t>
  </si>
  <si>
    <t>Plan Su Yolu/Tünel (km)</t>
  </si>
  <si>
    <t>Alt Kaynak</t>
  </si>
  <si>
    <t>Üst Kaynak</t>
  </si>
  <si>
    <t>Koordinat/Kot Güven Notu</t>
  </si>
  <si>
    <t>Üst rezervuar noktaları ön etüt referans noktasıdır; nihai kot için Google Earth/DEM ile kesit ve alan-hacim analizi gerekir.</t>
  </si>
  <si>
    <t>Parametre</t>
  </si>
  <si>
    <t>Değer</t>
  </si>
  <si>
    <t>Birim</t>
  </si>
  <si>
    <t>Açıklama</t>
  </si>
  <si>
    <t>Su yoğunluğu</t>
  </si>
  <si>
    <t>kg/m³</t>
  </si>
  <si>
    <t>Tatlı su için 1000 kg/m³; deniz suyu için hassas çalışmada 1025 kullanılabilir.</t>
  </si>
  <si>
    <t>Yerçekimi ivmesi</t>
  </si>
  <si>
    <t>m/s²</t>
  </si>
  <si>
    <t>Hidroelektrik güç hesabında kullanılır.</t>
  </si>
  <si>
    <t>Türbin-jeneratör verimi</t>
  </si>
  <si>
    <t>-</t>
  </si>
  <si>
    <t>Üretim modundaki hidrolik-elektrik verim.</t>
  </si>
  <si>
    <t>Pompa-motor verimi</t>
  </si>
  <si>
    <t>Pompalama modundaki elektrik-hidrolik verim.</t>
  </si>
  <si>
    <t>Çevrim verimi</t>
  </si>
  <si>
    <t>Pompaj + üretim toplam çevrim verimi; pompaj enerji maliyeti için kullanılır.</t>
  </si>
  <si>
    <t>Hidrolik kayıp oranı</t>
  </si>
  <si>
    <t>Brüt düşüden net düşüye geçiş için varsayılan kayıp.</t>
  </si>
  <si>
    <t>Yıllık çevrim sayısı</t>
  </si>
  <si>
    <t>çevrim/yıl</t>
  </si>
  <si>
    <t>Her çevrimde depolama süresi kadar üretim varsayılır.</t>
  </si>
  <si>
    <t>Pik satış fiyatı</t>
  </si>
  <si>
    <t>$/MWh</t>
  </si>
  <si>
    <t>Üretim saatleri ortalama satış fiyatı.</t>
  </si>
  <si>
    <t>Dip/pompaj alış fiyatı</t>
  </si>
  <si>
    <t>Pompalama saatleri ortalama enerji maliyeti.</t>
  </si>
  <si>
    <t>Yan hizmet birim geliri</t>
  </si>
  <si>
    <t>$/MW-yıl</t>
  </si>
  <si>
    <t>Frekans/rezerv/reaktif vb. yıllık kapasite değeri varsayımı.</t>
  </si>
  <si>
    <t>Kapasite mekanizması birim geliri</t>
  </si>
  <si>
    <t>Kapasite mekanizması ya da kapasite değeri varsayımı.</t>
  </si>
  <si>
    <t>Baz CAPEX yoğunluğu</t>
  </si>
  <si>
    <t>$/kW</t>
  </si>
  <si>
    <t>Ön etüt yatırım yoğunluğu; aday bazında formülle ayarlanır.</t>
  </si>
  <si>
    <t>Yıllık O&amp;M oranı</t>
  </si>
  <si>
    <t>CAPEX oranı</t>
  </si>
  <si>
    <t>İşletme-bakım gideri varsayımı.</t>
  </si>
  <si>
    <t>Deniz suyu CAPEX çarpanı</t>
  </si>
  <si>
    <t>çarpan</t>
  </si>
  <si>
    <t>Tuzlu su, kaplama, korozyon ve kıyı yapıları için ek maliyet.</t>
  </si>
  <si>
    <t>Yüksek düşü CAPEX eklentisi</t>
  </si>
  <si>
    <t>oran</t>
  </si>
  <si>
    <t>Brüt düşü &gt; 700 m ise ek tünel/jeoloji maliyet etkisi.</t>
  </si>
  <si>
    <t>Düşük düşü CAPEX eklentisi</t>
  </si>
  <si>
    <t>Net düşü &lt; 200 m ise yüksek debi/elektromekanik maliyet etkisi.</t>
  </si>
  <si>
    <t>PDHES Dinamik Hesaplama Modülü - Kullanım Kılavuzu</t>
  </si>
  <si>
    <t>Amaç</t>
  </si>
  <si>
    <t>Bu dosya, seçilen alt/üst rezervuar kotları ve dinamik ekonomik parametrelerle PDHES ön fizibilite hesabı yapar.</t>
  </si>
  <si>
    <t>Kullanım</t>
  </si>
  <si>
    <t>Input_Parametreleri sayfasındaki fiyat, verim, CAPEX ve çevrim değerlerini değiştirin. Aday_Verileri sayfasındaki hesap kolonları otomatik güncellenir.</t>
  </si>
  <si>
    <t>Kot seçimi</t>
  </si>
  <si>
    <t>Alt rezervuar kotu yayımlanmış maksimum/normal işletme su seviyesi olarak alınmıştır. Üst rezervuar kotu = alt kot + seçilen brüt düşü şeklinde kurulmuştur.</t>
  </si>
  <si>
    <t>Net düşü</t>
  </si>
  <si>
    <t>Net Düşü = Brüt Düşü x (1 - Hidrolik Kayıp Oranı). Hidrolik kayıp varsayımı Input_Parametreleri!B7 hücresinden değişir.</t>
  </si>
  <si>
    <t>Proje debisi</t>
  </si>
  <si>
    <t>Q = P / (rho x g x Hnet x ηtürbin). P watt, rho kg/m³, g m/s², H metre alınır.</t>
  </si>
  <si>
    <t>Üst aktif hacim</t>
  </si>
  <si>
    <t>V = E x 3.6e9 / (rho x g x Hnet x ηtürbin). Sonuç hm³ olarak verilir.</t>
  </si>
  <si>
    <t>Arbitraj geliri</t>
  </si>
  <si>
    <t>Brüt üretim geliri = MWh/yıl x pik fiyat. Pompaj maliyeti = pompaj MWh/yıl x dip fiyat. Net arbitraj bu ikisinin farkıdır.</t>
  </si>
  <si>
    <t>Yan hizmet ve kapasite geliri</t>
  </si>
  <si>
    <t>Yan hizmet = MW x $/MW-yıl; kapasite mekanizması = MW x $/MW-yıl. İki parametre dinamik hücrelerden gelir.</t>
  </si>
  <si>
    <t>CAPEX ve geri ödeme</t>
  </si>
  <si>
    <t>CAPEX = MW x 1000 x $/kW. Deniz suyu, yüksek düşü ve düşük düşü için basit eklenti çarpanları kullanılır. Geri ödeme = CAPEX / net yıllık nakit akımı.</t>
  </si>
  <si>
    <t>Önemli uyarı</t>
  </si>
  <si>
    <t>Bu dosya mühendislik ön etüdü formatındadır; nihai tasarım için 10-30 m DEM, jeoloji, arazi mülkiyeti, su tahsis ve ÇED çalışması gerekir.</t>
  </si>
  <si>
    <t>Referans</t>
  </si>
  <si>
    <t>Yüklenen 430169.pdf tezinde hidroelektrik güç formülü, Bayramhacılı örneği, proje debisi, net düşü, enerji faydası ve yatırım kalemleri kullanılmıştır.</t>
  </si>
  <si>
    <t>Teknik Skor</t>
  </si>
  <si>
    <t>Ekonomik Skor</t>
  </si>
  <si>
    <t>Veri Güven Skoru</t>
  </si>
  <si>
    <t>Risk Skoru</t>
  </si>
  <si>
    <t>Toplam Skor</t>
  </si>
  <si>
    <t>Sınıf</t>
  </si>
  <si>
    <t>Skor Açıklaması</t>
  </si>
  <si>
    <t>Skorlar formüllüdür: düşü/enerji/debi, geri ödeme, veri güven ve risk metni üzerinden hesaplanır.</t>
  </si>
  <si>
    <t>Kaynak / Not</t>
  </si>
  <si>
    <t>URL veya Açıklama</t>
  </si>
  <si>
    <t>Open-Meteo Elevation API dokümantasyonu</t>
  </si>
  <si>
    <t>https://open-meteo.com/en/docs/elevation-api</t>
  </si>
  <si>
    <t>Open-Meteo veri açıklaması</t>
  </si>
  <si>
    <t>Copernicus DEM 2021 GLO-90, 90 m çözünürlük; dosyada yöntem notu olarak verildi. Bu çalışma içinde API ile otomatik DEM taraması yapılamadığı için üst koordinatlar ön etüt noktasıdır.</t>
  </si>
  <si>
    <t>Gökçekaya koordinat/kaynak</t>
  </si>
  <si>
    <t>https://tr.wikipedia.org/wiki/G%C3%B6k%C3%A7ekaya_Baraj%C4%B1_ve_Hidroelektrik_Santrali ; https://www.enerjiatlasi.com/hidroelektrik/gokcekaya-baraji.html</t>
  </si>
  <si>
    <t>Sarıyar kaynak</t>
  </si>
  <si>
    <t>https://www.enerjiatlasi.com/hidroelektrik/sariyar-baraji.html ; https://turkiyebarajlar.com/baraj/sariyar</t>
  </si>
  <si>
    <t>Altınkaya kaynak</t>
  </si>
  <si>
    <t>https://www.enerjiatlasi.com/hidroelektrik/altinkaya-baraji.html ; https://turkiyebarajlar.com/baraj/altinkaya</t>
  </si>
  <si>
    <t>Bayramhacılı kaynak</t>
  </si>
  <si>
    <t>https://www.senerji.com/Sayfa-55-bayramhacili-hes.html ; 430169.pdf</t>
  </si>
  <si>
    <t>Hasan Uğurlu kaynak</t>
  </si>
  <si>
    <t>Adıgüzel kaynak</t>
  </si>
  <si>
    <t>https://www.enerjiatlasi.com/hidroelektrik/adiguzel-baraji.html ; https://tr.wikipedia.org/wiki/Ad%C4%B1g%C3%BCzel_Baraj%C4%B1_ve_Hidroelektrik_Santrali</t>
  </si>
  <si>
    <t>Kargı kaynak</t>
  </si>
  <si>
    <t>https://turkiyebarajlar.com/baraj/kargi-baraji-ve-hes ; https://tr.wikipedia.org/wiki/Karg%C4%B1_Baraj%C4%B1_ve_Hidroelektrik_Santrali</t>
  </si>
  <si>
    <t>Karacaören II kaynak</t>
  </si>
  <si>
    <t>https://www.enerjiatlasi.com/hidroelektrik/karacaoren-2-hes.html ; https://turkiyebarajlar.com/baraj/karacaoren-ii</t>
  </si>
  <si>
    <t>Yamula kaynak</t>
  </si>
  <si>
    <t>https://www.enerjiatlasi.com/hidroelektrik/yamula-baraji.html ; https://www.ayen.com.tr/yamula-hidro-elektrik-santrali</t>
  </si>
  <si>
    <t>Oymapınar kaynak</t>
  </si>
  <si>
    <t>https://www.enerjiatlasi.com/hidroelektrik/oymapinar-baraji.html ; https://tr.wikipedia.org/wiki/Oymap%C4%B1nar_Baraj%C4%B1_ve_Hidroelektrik_Santrali</t>
  </si>
  <si>
    <t>Aslantaş kaynak</t>
  </si>
  <si>
    <t>https://www.enerjiatlasi.com/hidroelektrik/aslantas-baraji.html ; https://turkiyebarajlar.com/baraj/aslantas</t>
  </si>
  <si>
    <t>Demirköprü kaynak</t>
  </si>
  <si>
    <t>https://www.enerjiatlasi.com/hidroelektrik/demirkopru-baraji.html ; https://turkiyebarajlar.com/baraj/demirkopru</t>
  </si>
  <si>
    <t>PDHES üst rezervuar/düşü kaynakları</t>
  </si>
  <si>
    <t>https://test.tesab.org.tr/wp-content/uploads/2025/06/POMPAJ-DEPOLAMALI-HES-2.BASKI_.pdf ; https://www.emo.org.tr/ekler/05c493149542899_ek.pdf</t>
  </si>
  <si>
    <t>Sınırlama</t>
  </si>
  <si>
    <t>Google Earth/Google Maps doğrudan raster kot okuması bu çalışma ortamında yapılamadı. Bu nedenle üst rezervuar koordinatları kesin proje koordinatı değil, Google Earth linkli ön etüt referans noktası olarak verilmiştir.</t>
  </si>
  <si>
    <t>Açık Çevrim PDHES</t>
  </si>
  <si>
    <t>Deniz suyu korozyonu, kıyı izinleri, deniz ekolojisi, karst ve sızdırmazlık riski</t>
  </si>
  <si>
    <t>Orta-yüksek düşü; kıyı/orman izinleri, heyelan, korozyon ve sızdırmazlık riski</t>
  </si>
  <si>
    <t>Çok yüksek düşü; doğal sit/orman izinleri, görsel etki, deniz ekolojisi ve yüksek basınçlı su yolu riski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</si>
</sst>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0.000"/>
  </numFmts>
  <fonts count="6" x14ac:knownFonts="1">
    <font>
      <sz val="11"/>
      <name val="Carlito"/>
    </font>
    <font>
      <b/>
      <sz val="11"/>
      <color rgb="FFFFFFFF"/>
      <name val="Carlito"/>
      <family val="2"/>
      <charset val="162"/>
    </font>
    <font>
      <b/>
      <sz val="14"/>
      <color rgb="FFFFFFFF"/>
      <name val="Carlito"/>
      <family val="2"/>
      <charset val="162"/>
    </font>
    <font>
      <b/>
      <sz val="11"/>
      <color rgb="FF0F172A"/>
      <name val="Carlito"/>
      <family val="2"/>
      <charset val="162"/>
    </font>
    <font>
      <sz val="11"/>
      <name val="Carlito"/>
      <family val="2"/>
      <charset val="162"/>
    </font>
    <font>
      <u/>
      <sz val="11"/>
      <color theme="10"/>
      <name val="Carlito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F172A"/>
      </patternFill>
    </fill>
    <fill>
      <patternFill patternType="solid">
        <fgColor rgb="FFE0F2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 applyAlignment="1">
      <alignment wrapText="1"/>
    </xf>
    <xf numFmtId="164" fontId="1" fillId="2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5" fillId="0" borderId="0" xfId="1" applyAlignment="1">
      <alignment wrapText="1"/>
    </xf>
    <xf numFmtId="0" fontId="4" fillId="0" borderId="0" xfId="0" applyFont="1"/>
    <xf numFmtId="0" fontId="2" fillId="3" borderId="0" xfId="0" applyFont="1" applyFill="1" applyAlignment="1">
      <alignment horizontal="left" wrapText="1"/>
    </xf>
    <xf numFmtId="0" fontId="0" fillId="0" borderId="0" xfId="0" applyAlignment="1">
      <alignment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ayVerileriTable" displayName="AdayVerileriTable" ref="A1:AR16">
  <tableColumns count="44">
    <tableColumn id="1" xr3:uid="{00000000-0010-0000-0000-000001000000}" name="No"/>
    <tableColumn id="2" xr3:uid="{00000000-0010-0000-0000-000002000000}" name="Aday Adı"/>
    <tableColumn id="3" xr3:uid="{00000000-0010-0000-0000-000003000000}" name="Tip"/>
    <tableColumn id="4" xr3:uid="{00000000-0010-0000-0000-000004000000}" name="İl/Bölge"/>
    <tableColumn id="5" xr3:uid="{00000000-0010-0000-0000-000005000000}" name="Kapasite (MW)"/>
    <tableColumn id="6" xr3:uid="{00000000-0010-0000-0000-000006000000}" name="Depolama Süresi (saat)"/>
    <tableColumn id="7" xr3:uid="{00000000-0010-0000-0000-000007000000}" name="Enerji (MWh)"/>
    <tableColumn id="8" xr3:uid="{00000000-0010-0000-0000-000008000000}" name="Alt Rezervuar Adı"/>
    <tableColumn id="9" xr3:uid="{00000000-0010-0000-0000-000009000000}" name="Alt Enlem"/>
    <tableColumn id="10" xr3:uid="{00000000-0010-0000-0000-00000A000000}" name="Alt Boylam"/>
    <tableColumn id="11" xr3:uid="{00000000-0010-0000-0000-00000B000000}" name="Alt Rezervuar Kotu (m)"/>
    <tableColumn id="12" xr3:uid="{00000000-0010-0000-0000-00000C000000}" name="Üst Enlem"/>
    <tableColumn id="13" xr3:uid="{00000000-0010-0000-0000-00000D000000}" name="Üst Boylam"/>
    <tableColumn id="14" xr3:uid="{00000000-0010-0000-0000-00000E000000}" name="Üst Rezervuar Kotu (m)"/>
    <tableColumn id="15" xr3:uid="{00000000-0010-0000-0000-00000F000000}" name="Brüt Düşü (m)"/>
    <tableColumn id="16" xr3:uid="{00000000-0010-0000-0000-000010000000}" name="Net Düşü (m)"/>
    <tableColumn id="17" xr3:uid="{00000000-0010-0000-0000-000011000000}" name="Hidrolik Kayıp %"/>
    <tableColumn id="18" xr3:uid="{00000000-0010-0000-0000-000012000000}" name="Proje Debisi (m³/s)"/>
    <tableColumn id="19" xr3:uid="{00000000-0010-0000-0000-000013000000}" name="Üst Aktif Hacim (hm³)"/>
    <tableColumn id="20" xr3:uid="{00000000-0010-0000-0000-000014000000}" name="Çevrim Verimi %"/>
    <tableColumn id="21" xr3:uid="{00000000-0010-0000-0000-000015000000}" name="Pompa Gücü (MW)"/>
    <tableColumn id="22" xr3:uid="{00000000-0010-0000-0000-000016000000}" name="Pompaj Enerjisi/Çevrim (MWh)"/>
    <tableColumn id="23" xr3:uid="{00000000-0010-0000-0000-000017000000}" name="Yıllık Çevrim"/>
    <tableColumn id="24" xr3:uid="{00000000-0010-0000-0000-000018000000}" name="Yıllık Üretim (GWh)"/>
    <tableColumn id="25" xr3:uid="{00000000-0010-0000-0000-000019000000}" name="Pik Fiyat ($/MWh)"/>
    <tableColumn id="26" xr3:uid="{00000000-0010-0000-0000-00001A000000}" name="Dip Fiyat ($/MWh)"/>
    <tableColumn id="27" xr3:uid="{00000000-0010-0000-0000-00001B000000}" name="Brüt Üretim Geliri (M USD)"/>
    <tableColumn id="28" xr3:uid="{00000000-0010-0000-0000-00001C000000}" name="Pompaj Enerji Maliyeti (M USD)"/>
    <tableColumn id="29" xr3:uid="{00000000-0010-0000-0000-00001D000000}" name="Net Arbitraj Geliri (M USD)"/>
    <tableColumn id="30" xr3:uid="{00000000-0010-0000-0000-00001E000000}" name="Yan Hizmet Geliri (M USD)"/>
    <tableColumn id="31" xr3:uid="{00000000-0010-0000-0000-00001F000000}" name="Kapasite Mekanizması Geliri (M USD)"/>
    <tableColumn id="32" xr3:uid="{00000000-0010-0000-0000-000020000000}" name="Yıllık Toplam Gelir (M USD)"/>
    <tableColumn id="33" xr3:uid="{00000000-0010-0000-0000-000021000000}" name="CAPEX Yoğunluğu ($/kW)"/>
    <tableColumn id="34" xr3:uid="{00000000-0010-0000-0000-000022000000}" name="CAPEX (M USD)"/>
    <tableColumn id="35" xr3:uid="{00000000-0010-0000-0000-000023000000}" name="O&amp;M (M USD/yıl)"/>
    <tableColumn id="36" xr3:uid="{00000000-0010-0000-0000-000024000000}" name="Net Nakit Akımı (M USD/yıl)"/>
    <tableColumn id="37" xr3:uid="{00000000-0010-0000-0000-000025000000}" name="Geri Ödeme (yıl)"/>
    <tableColumn id="38" xr3:uid="{00000000-0010-0000-0000-000026000000}" name="Veri Güven Seviyesi"/>
    <tableColumn id="39" xr3:uid="{00000000-0010-0000-0000-000027000000}" name="Risk Faktörleri"/>
    <tableColumn id="40" xr3:uid="{00000000-0010-0000-0000-000028000000}" name="Hesap Notu"/>
    <tableColumn id="41" xr3:uid="{00000000-0010-0000-0000-000029000000}" name="Alt Google Earth"/>
    <tableColumn id="42" xr3:uid="{00000000-0010-0000-0000-00002A000000}" name="Üst Google Earth"/>
    <tableColumn id="43" xr3:uid="{00000000-0010-0000-0000-00002B000000}" name="Alt Kaynak URL"/>
    <tableColumn id="44" xr3:uid="{00000000-0010-0000-0000-00002C000000}" name="Üst/PDHES Kaynak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oordinatlarTable" displayName="KoordinatlarTable" ref="A1:R16">
  <tableColumns count="18">
    <tableColumn id="1" xr3:uid="{00000000-0010-0000-0100-000001000000}" name="No"/>
    <tableColumn id="2" xr3:uid="{00000000-0010-0000-0100-000002000000}" name="Aday Adı"/>
    <tableColumn id="3" xr3:uid="{00000000-0010-0000-0100-000003000000}" name="Alt Rezervuar"/>
    <tableColumn id="4" xr3:uid="{00000000-0010-0000-0100-000004000000}" name="Alt Enlem"/>
    <tableColumn id="5" xr3:uid="{00000000-0010-0000-0100-000005000000}" name="Alt Boylam"/>
    <tableColumn id="6" xr3:uid="{00000000-0010-0000-0100-000006000000}" name="Alt Kotu (m)"/>
    <tableColumn id="7" xr3:uid="{00000000-0010-0000-0100-000007000000}" name="Üst Enlem"/>
    <tableColumn id="8" xr3:uid="{00000000-0010-0000-0100-000008000000}" name="Üst Boylam"/>
    <tableColumn id="9" xr3:uid="{00000000-0010-0000-0100-000009000000}" name="Üst Kotu (m)"/>
    <tableColumn id="10" xr3:uid="{00000000-0010-0000-0100-00000A000000}" name="Brüt Düşü (m)"/>
    <tableColumn id="11" xr3:uid="{00000000-0010-0000-0100-00000B000000}" name="Net Düşü (m)"/>
    <tableColumn id="12" xr3:uid="{00000000-0010-0000-0100-00000C000000}" name="Yaklaşık Yatay Mesafe (km)"/>
    <tableColumn id="13" xr3:uid="{00000000-0010-0000-0100-00000D000000}" name="Plan Su Yolu/Tünel (km)"/>
    <tableColumn id="14" xr3:uid="{00000000-0010-0000-0100-00000E000000}" name="Alt Google Earth"/>
    <tableColumn id="15" xr3:uid="{00000000-0010-0000-0100-00000F000000}" name="Üst Google Earth"/>
    <tableColumn id="16" xr3:uid="{00000000-0010-0000-0100-000010000000}" name="Alt Kaynak"/>
    <tableColumn id="17" xr3:uid="{00000000-0010-0000-0100-000011000000}" name="Üst Kaynak"/>
    <tableColumn id="18" xr3:uid="{00000000-0010-0000-0100-000012000000}" name="Koordinat/Kot Güven Not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korTable" displayName="SkorTable" ref="A1:I16">
  <tableColumns count="9">
    <tableColumn id="1" xr3:uid="{00000000-0010-0000-0200-000001000000}" name="No"/>
    <tableColumn id="2" xr3:uid="{00000000-0010-0000-0200-000002000000}" name="Aday Adı"/>
    <tableColumn id="3" xr3:uid="{00000000-0010-0000-0200-000003000000}" name="Teknik Skor"/>
    <tableColumn id="4" xr3:uid="{00000000-0010-0000-0200-000004000000}" name="Ekonomik Skor"/>
    <tableColumn id="5" xr3:uid="{00000000-0010-0000-0200-000005000000}" name="Veri Güven Skoru"/>
    <tableColumn id="6" xr3:uid="{00000000-0010-0000-0200-000006000000}" name="Risk Skoru"/>
    <tableColumn id="7" xr3:uid="{00000000-0010-0000-0200-000007000000}" name="Toplam Skor"/>
    <tableColumn id="8" xr3:uid="{00000000-0010-0000-0200-000008000000}" name="Sınıf"/>
    <tableColumn id="9" xr3:uid="{00000000-0010-0000-0200-000009000000}" name="Skor Açıklamas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arth.google.com/web/search/40.048000,31.396000" TargetMode="External"/><Relationship Id="rId2" Type="http://schemas.openxmlformats.org/officeDocument/2006/relationships/hyperlink" Target="https://earth.google.com/web/search/40.057000,30.979000" TargetMode="External"/><Relationship Id="rId1" Type="http://schemas.openxmlformats.org/officeDocument/2006/relationships/hyperlink" Target="https://earth.google.com/web/search/40.033060,31.016110" TargetMode="Externa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6"/>
  <sheetViews>
    <sheetView tabSelected="1" workbookViewId="0">
      <selection activeCell="AM21" sqref="AM21"/>
    </sheetView>
  </sheetViews>
  <sheetFormatPr defaultRowHeight="14.4" x14ac:dyDescent="0.3"/>
  <cols>
    <col min="1" max="1" width="6" customWidth="1"/>
    <col min="2" max="2" width="32" customWidth="1"/>
    <col min="3" max="3" width="16.33203125" bestFit="1" customWidth="1"/>
    <col min="4" max="4" width="18" customWidth="1"/>
    <col min="5" max="7" width="14" customWidth="1"/>
    <col min="8" max="8" width="30" customWidth="1"/>
    <col min="9" max="10" width="12" customWidth="1"/>
    <col min="11" max="11" width="14" customWidth="1"/>
    <col min="12" max="13" width="12" customWidth="1"/>
    <col min="14" max="14" width="14" customWidth="1"/>
    <col min="15" max="17" width="12" customWidth="1"/>
    <col min="18" max="19" width="14" customWidth="1"/>
    <col min="20" max="20" width="12" customWidth="1"/>
    <col min="21" max="21" width="14" customWidth="1"/>
    <col min="22" max="22" width="16" customWidth="1"/>
    <col min="23" max="23" width="12" customWidth="1"/>
    <col min="24" max="24" width="14" customWidth="1"/>
    <col min="25" max="26" width="13" customWidth="1"/>
    <col min="27" max="27" width="16" customWidth="1"/>
    <col min="28" max="29" width="17" customWidth="1"/>
    <col min="30" max="30" width="16" customWidth="1"/>
    <col min="31" max="31" width="18" customWidth="1"/>
    <col min="32" max="32" width="16" customWidth="1"/>
    <col min="33" max="33" width="15" customWidth="1"/>
    <col min="34" max="35" width="14" customWidth="1"/>
    <col min="36" max="36" width="16" customWidth="1"/>
    <col min="37" max="37" width="13" customWidth="1"/>
    <col min="38" max="38" width="16" customWidth="1"/>
    <col min="39" max="39" width="48" customWidth="1"/>
    <col min="40" max="40" width="52" customWidth="1"/>
    <col min="41" max="42" width="42" customWidth="1"/>
    <col min="43" max="44" width="44" customWidth="1"/>
  </cols>
  <sheetData>
    <row r="1" spans="1:4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>
        <v>1</v>
      </c>
      <c r="B2" t="s">
        <v>44</v>
      </c>
      <c r="C2" s="11" t="s">
        <v>272</v>
      </c>
      <c r="D2" t="s">
        <v>45</v>
      </c>
      <c r="E2" s="4">
        <v>1400</v>
      </c>
      <c r="F2" s="4">
        <v>7</v>
      </c>
      <c r="G2" s="4">
        <f t="shared" ref="G2:G16" si="0">E2*F2</f>
        <v>9800</v>
      </c>
      <c r="H2" t="s">
        <v>46</v>
      </c>
      <c r="I2" s="5">
        <v>40.033059999999999</v>
      </c>
      <c r="J2" s="5">
        <v>31.016110000000001</v>
      </c>
      <c r="K2" s="4">
        <v>389</v>
      </c>
      <c r="L2" s="5">
        <v>40.057000000000002</v>
      </c>
      <c r="M2" s="5">
        <v>30.978999999999999</v>
      </c>
      <c r="N2" s="4">
        <f t="shared" ref="N2:N16" si="1">K2+O2</f>
        <v>769</v>
      </c>
      <c r="O2" s="4">
        <v>380</v>
      </c>
      <c r="P2" s="4">
        <f t="shared" ref="P2:P16" si="2">O2*(1-Q2)</f>
        <v>368.59999999999997</v>
      </c>
      <c r="Q2" s="4">
        <f>Input_Parametreleri!$B$7</f>
        <v>0.03</v>
      </c>
      <c r="R2" s="4">
        <f>IFERROR(E2*1000000/(Input_Parametreleri!$B$2*Input_Parametreleri!$B$3*P2*Input_Parametreleri!$B$4),0)</f>
        <v>430.19086892840136</v>
      </c>
      <c r="S2" s="4">
        <f>IFERROR(G2*3600000000/(Input_Parametreleri!$B$2*Input_Parametreleri!$B$3*P2*Input_Parametreleri!$B$4)/1000000,0)</f>
        <v>10.840809896995713</v>
      </c>
      <c r="T2" s="6">
        <f>Input_Parametreleri!$B$6</f>
        <v>0.78</v>
      </c>
      <c r="U2" s="4">
        <f>IFERROR(E2/Input_Parametreleri!$B$6,0)</f>
        <v>1794.8717948717949</v>
      </c>
      <c r="V2" s="4">
        <f>IFERROR(G2/Input_Parametreleri!$B$6,0)</f>
        <v>12564.102564102564</v>
      </c>
      <c r="W2" s="4">
        <f>Input_Parametreleri!$B$8</f>
        <v>300</v>
      </c>
      <c r="X2" s="4">
        <f t="shared" ref="X2:X16" si="3">G2*W2/1000</f>
        <v>2940</v>
      </c>
      <c r="Y2" s="4">
        <f>Input_Parametreleri!$B$9</f>
        <v>110</v>
      </c>
      <c r="Z2" s="4">
        <f>Input_Parametreleri!$B$10</f>
        <v>45</v>
      </c>
      <c r="AA2" s="4">
        <f t="shared" ref="AA2:AA16" si="4">G2*W2*Y2/1000000</f>
        <v>323.39999999999998</v>
      </c>
      <c r="AB2" s="4">
        <f t="shared" ref="AB2:AB16" si="5">V2*W2*Z2/1000000</f>
        <v>169.61538461538464</v>
      </c>
      <c r="AC2" s="4">
        <f t="shared" ref="AC2:AC16" si="6">AA2-AB2</f>
        <v>153.78461538461534</v>
      </c>
      <c r="AD2" s="4">
        <f>E2*Input_Parametreleri!$B$11/1000000</f>
        <v>63</v>
      </c>
      <c r="AE2" s="4">
        <f>E2*Input_Parametreleri!$B$12/1000000</f>
        <v>42</v>
      </c>
      <c r="AF2" s="4">
        <f t="shared" ref="AF2:AF16" si="7">AC2+AD2+AE2</f>
        <v>258.78461538461534</v>
      </c>
      <c r="AG2" s="4">
        <f>Input_Parametreleri!$B$13*(1+IF(P2&lt;200,Input_Parametreleri!$B$17,0)+IF(O2&gt;700,Input_Parametreleri!$B$16,0)+IF(ISNUMBER(SEARCH("Deniz",C2)),Input_Parametreleri!$B$15-1,0))</f>
        <v>1700</v>
      </c>
      <c r="AH2" s="4">
        <f t="shared" ref="AH2:AH16" si="8">E2*1000*AG2/1000000</f>
        <v>2380</v>
      </c>
      <c r="AI2" s="4">
        <f>AH2*Input_Parametreleri!$B$14</f>
        <v>35.699999999999996</v>
      </c>
      <c r="AJ2" s="4">
        <f t="shared" ref="AJ2:AJ16" si="9">AF2-AI2</f>
        <v>223.08461538461535</v>
      </c>
      <c r="AK2" s="4">
        <f t="shared" ref="AK2:AK16" si="10">IFERROR(AH2/AJ2,0)</f>
        <v>10.668597634564327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</row>
    <row r="3" spans="1:44" x14ac:dyDescent="0.3">
      <c r="A3">
        <v>2</v>
      </c>
      <c r="B3" t="s">
        <v>54</v>
      </c>
      <c r="C3" s="11" t="s">
        <v>272</v>
      </c>
      <c r="D3" t="s">
        <v>55</v>
      </c>
      <c r="E3" s="4">
        <v>1000</v>
      </c>
      <c r="F3" s="4">
        <v>7</v>
      </c>
      <c r="G3" s="4">
        <f t="shared" si="0"/>
        <v>7000</v>
      </c>
      <c r="H3" t="s">
        <v>56</v>
      </c>
      <c r="I3" s="5">
        <v>40.04</v>
      </c>
      <c r="J3" s="5">
        <v>31.414166999999999</v>
      </c>
      <c r="K3" s="4">
        <v>475</v>
      </c>
      <c r="L3" s="5">
        <v>40.048000000000002</v>
      </c>
      <c r="M3" s="5">
        <v>31.396000000000001</v>
      </c>
      <c r="N3" s="4">
        <f t="shared" si="1"/>
        <v>910</v>
      </c>
      <c r="O3" s="4">
        <v>435</v>
      </c>
      <c r="P3" s="4">
        <f t="shared" si="2"/>
        <v>421.95</v>
      </c>
      <c r="Q3" s="4">
        <f>Input_Parametreleri!$B$7</f>
        <v>0.03</v>
      </c>
      <c r="R3" s="4">
        <f>IFERROR(E3*1000000/(Input_Parametreleri!$B$2*Input_Parametreleri!$B$3*P3*Input_Parametreleri!$B$4),0)</f>
        <v>268.42779998816502</v>
      </c>
      <c r="S3" s="4">
        <f>IFERROR(G3*3600000000/(Input_Parametreleri!$B$2*Input_Parametreleri!$B$3*P3*Input_Parametreleri!$B$4)/1000000,0)</f>
        <v>6.7643805597017579</v>
      </c>
      <c r="T3" s="6">
        <f>Input_Parametreleri!$B$6</f>
        <v>0.78</v>
      </c>
      <c r="U3" s="4">
        <f>IFERROR(E3/Input_Parametreleri!$B$6,0)</f>
        <v>1282.051282051282</v>
      </c>
      <c r="V3" s="4">
        <f>IFERROR(G3/Input_Parametreleri!$B$6,0)</f>
        <v>8974.3589743589746</v>
      </c>
      <c r="W3" s="4">
        <f>Input_Parametreleri!$B$8</f>
        <v>300</v>
      </c>
      <c r="X3" s="4">
        <f t="shared" si="3"/>
        <v>2100</v>
      </c>
      <c r="Y3" s="4">
        <f>Input_Parametreleri!$B$9</f>
        <v>110</v>
      </c>
      <c r="Z3" s="4">
        <f>Input_Parametreleri!$B$10</f>
        <v>45</v>
      </c>
      <c r="AA3" s="4">
        <f t="shared" si="4"/>
        <v>231</v>
      </c>
      <c r="AB3" s="4">
        <f t="shared" si="5"/>
        <v>121.15384615384616</v>
      </c>
      <c r="AC3" s="4">
        <f t="shared" si="6"/>
        <v>109.84615384615384</v>
      </c>
      <c r="AD3" s="4">
        <f>E3*Input_Parametreleri!$B$11/1000000</f>
        <v>45</v>
      </c>
      <c r="AE3" s="4">
        <f>E3*Input_Parametreleri!$B$12/1000000</f>
        <v>30</v>
      </c>
      <c r="AF3" s="4">
        <f t="shared" si="7"/>
        <v>184.84615384615384</v>
      </c>
      <c r="AG3" s="4">
        <f>Input_Parametreleri!$B$13*(1+IF(P3&lt;200,Input_Parametreleri!$B$17,0)+IF(O3&gt;700,Input_Parametreleri!$B$16,0)+IF(ISNUMBER(SEARCH("Deniz",C3)),Input_Parametreleri!$B$15-1,0))</f>
        <v>1700</v>
      </c>
      <c r="AH3" s="4">
        <f t="shared" si="8"/>
        <v>1700</v>
      </c>
      <c r="AI3" s="4">
        <f>AH3*Input_Parametreleri!$B$14</f>
        <v>25.5</v>
      </c>
      <c r="AJ3" s="4">
        <f t="shared" si="9"/>
        <v>159.34615384615384</v>
      </c>
      <c r="AK3" s="4">
        <f t="shared" si="10"/>
        <v>10.668597634564327</v>
      </c>
      <c r="AL3" t="s">
        <v>57</v>
      </c>
      <c r="AM3" t="s">
        <v>58</v>
      </c>
      <c r="AN3" t="s">
        <v>49</v>
      </c>
      <c r="AO3" t="s">
        <v>59</v>
      </c>
      <c r="AP3" t="s">
        <v>60</v>
      </c>
      <c r="AQ3" t="s">
        <v>61</v>
      </c>
      <c r="AR3" t="s">
        <v>62</v>
      </c>
    </row>
    <row r="4" spans="1:44" x14ac:dyDescent="0.3">
      <c r="A4">
        <v>3</v>
      </c>
      <c r="B4" t="s">
        <v>63</v>
      </c>
      <c r="C4" s="11" t="s">
        <v>272</v>
      </c>
      <c r="D4" t="s">
        <v>64</v>
      </c>
      <c r="E4" s="4">
        <v>1800</v>
      </c>
      <c r="F4" s="4">
        <v>7</v>
      </c>
      <c r="G4" s="4">
        <f t="shared" si="0"/>
        <v>12600</v>
      </c>
      <c r="H4" t="s">
        <v>65</v>
      </c>
      <c r="I4" s="5">
        <v>41.363332999999997</v>
      </c>
      <c r="J4" s="5">
        <v>35.724167000000001</v>
      </c>
      <c r="K4" s="4">
        <v>190</v>
      </c>
      <c r="L4" s="5">
        <v>41.381999999999998</v>
      </c>
      <c r="M4" s="5">
        <v>35.673999999999999</v>
      </c>
      <c r="N4" s="4">
        <f t="shared" si="1"/>
        <v>801</v>
      </c>
      <c r="O4" s="4">
        <v>611</v>
      </c>
      <c r="P4" s="4">
        <f t="shared" si="2"/>
        <v>592.66999999999996</v>
      </c>
      <c r="Q4" s="4">
        <f>Input_Parametreleri!$B$7</f>
        <v>0.03</v>
      </c>
      <c r="R4" s="4">
        <f>IFERROR(E4*1000000/(Input_Parametreleri!$B$2*Input_Parametreleri!$B$3*P4*Input_Parametreleri!$B$4),0)</f>
        <v>343.99176332362231</v>
      </c>
      <c r="S4" s="4">
        <f>IFERROR(G4*3600000000/(Input_Parametreleri!$B$2*Input_Parametreleri!$B$3*P4*Input_Parametreleri!$B$4)/1000000,0)</f>
        <v>8.6685924357552828</v>
      </c>
      <c r="T4" s="6">
        <f>Input_Parametreleri!$B$6</f>
        <v>0.78</v>
      </c>
      <c r="U4" s="4">
        <f>IFERROR(E4/Input_Parametreleri!$B$6,0)</f>
        <v>2307.6923076923076</v>
      </c>
      <c r="V4" s="4">
        <f>IFERROR(G4/Input_Parametreleri!$B$6,0)</f>
        <v>16153.846153846152</v>
      </c>
      <c r="W4" s="4">
        <f>Input_Parametreleri!$B$8</f>
        <v>300</v>
      </c>
      <c r="X4" s="4">
        <f t="shared" si="3"/>
        <v>3780</v>
      </c>
      <c r="Y4" s="4">
        <f>Input_Parametreleri!$B$9</f>
        <v>110</v>
      </c>
      <c r="Z4" s="4">
        <f>Input_Parametreleri!$B$10</f>
        <v>45</v>
      </c>
      <c r="AA4" s="4">
        <f t="shared" si="4"/>
        <v>415.8</v>
      </c>
      <c r="AB4" s="4">
        <f t="shared" si="5"/>
        <v>218.07692307692307</v>
      </c>
      <c r="AC4" s="4">
        <f t="shared" si="6"/>
        <v>197.72307692307695</v>
      </c>
      <c r="AD4" s="4">
        <f>E4*Input_Parametreleri!$B$11/1000000</f>
        <v>81</v>
      </c>
      <c r="AE4" s="4">
        <f>E4*Input_Parametreleri!$B$12/1000000</f>
        <v>54</v>
      </c>
      <c r="AF4" s="4">
        <f t="shared" si="7"/>
        <v>332.72307692307697</v>
      </c>
      <c r="AG4" s="4">
        <f>Input_Parametreleri!$B$13*(1+IF(P4&lt;200,Input_Parametreleri!$B$17,0)+IF(O4&gt;700,Input_Parametreleri!$B$16,0)+IF(ISNUMBER(SEARCH("Deniz",C4)),Input_Parametreleri!$B$15-1,0))</f>
        <v>1700</v>
      </c>
      <c r="AH4" s="4">
        <f t="shared" si="8"/>
        <v>3060</v>
      </c>
      <c r="AI4" s="4">
        <f>AH4*Input_Parametreleri!$B$14</f>
        <v>45.9</v>
      </c>
      <c r="AJ4" s="4">
        <f t="shared" si="9"/>
        <v>286.823076923077</v>
      </c>
      <c r="AK4" s="4">
        <f t="shared" si="10"/>
        <v>10.668597634564323</v>
      </c>
      <c r="AL4" t="s">
        <v>57</v>
      </c>
      <c r="AM4" t="s">
        <v>66</v>
      </c>
      <c r="AN4" t="s">
        <v>49</v>
      </c>
      <c r="AO4" t="s">
        <v>67</v>
      </c>
      <c r="AP4" t="s">
        <v>68</v>
      </c>
      <c r="AQ4" t="s">
        <v>69</v>
      </c>
      <c r="AR4" t="s">
        <v>70</v>
      </c>
    </row>
    <row r="5" spans="1:44" x14ac:dyDescent="0.3">
      <c r="A5">
        <v>4</v>
      </c>
      <c r="B5" t="s">
        <v>71</v>
      </c>
      <c r="C5" s="11" t="s">
        <v>272</v>
      </c>
      <c r="D5" t="s">
        <v>72</v>
      </c>
      <c r="E5" s="4">
        <v>1000</v>
      </c>
      <c r="F5" s="4">
        <v>7</v>
      </c>
      <c r="G5" s="4">
        <f t="shared" si="0"/>
        <v>7000</v>
      </c>
      <c r="H5" t="s">
        <v>73</v>
      </c>
      <c r="I5" s="5">
        <v>38.786110000000001</v>
      </c>
      <c r="J5" s="5">
        <v>35.05583</v>
      </c>
      <c r="K5" s="4">
        <v>980</v>
      </c>
      <c r="L5" s="5">
        <v>38.793889999999998</v>
      </c>
      <c r="M5" s="5">
        <v>35.055</v>
      </c>
      <c r="N5" s="4">
        <f t="shared" si="1"/>
        <v>1141</v>
      </c>
      <c r="O5" s="4">
        <v>161</v>
      </c>
      <c r="P5" s="4">
        <f t="shared" si="2"/>
        <v>156.16999999999999</v>
      </c>
      <c r="Q5" s="4">
        <f>Input_Parametreleri!$B$7</f>
        <v>0.03</v>
      </c>
      <c r="R5" s="4">
        <f>IFERROR(E5*1000000/(Input_Parametreleri!$B$2*Input_Parametreleri!$B$3*P5*Input_Parametreleri!$B$4),0)</f>
        <v>725.25523599286828</v>
      </c>
      <c r="S5" s="4">
        <f>IFERROR(G5*3600000000/(Input_Parametreleri!$B$2*Input_Parametreleri!$B$3*P5*Input_Parametreleri!$B$4)/1000000,0)</f>
        <v>18.276431947020281</v>
      </c>
      <c r="T5" s="6">
        <f>Input_Parametreleri!$B$6</f>
        <v>0.78</v>
      </c>
      <c r="U5" s="4">
        <f>IFERROR(E5/Input_Parametreleri!$B$6,0)</f>
        <v>1282.051282051282</v>
      </c>
      <c r="V5" s="4">
        <f>IFERROR(G5/Input_Parametreleri!$B$6,0)</f>
        <v>8974.3589743589746</v>
      </c>
      <c r="W5" s="4">
        <f>Input_Parametreleri!$B$8</f>
        <v>300</v>
      </c>
      <c r="X5" s="4">
        <f t="shared" si="3"/>
        <v>2100</v>
      </c>
      <c r="Y5" s="4">
        <f>Input_Parametreleri!$B$9</f>
        <v>110</v>
      </c>
      <c r="Z5" s="4">
        <f>Input_Parametreleri!$B$10</f>
        <v>45</v>
      </c>
      <c r="AA5" s="4">
        <f t="shared" si="4"/>
        <v>231</v>
      </c>
      <c r="AB5" s="4">
        <f t="shared" si="5"/>
        <v>121.15384615384616</v>
      </c>
      <c r="AC5" s="4">
        <f t="shared" si="6"/>
        <v>109.84615384615384</v>
      </c>
      <c r="AD5" s="4">
        <f>E5*Input_Parametreleri!$B$11/1000000</f>
        <v>45</v>
      </c>
      <c r="AE5" s="4">
        <f>E5*Input_Parametreleri!$B$12/1000000</f>
        <v>30</v>
      </c>
      <c r="AF5" s="4">
        <f t="shared" si="7"/>
        <v>184.84615384615384</v>
      </c>
      <c r="AG5" s="4">
        <f>Input_Parametreleri!$B$13*(1+IF(P5&lt;200,Input_Parametreleri!$B$17,0)+IF(O5&gt;700,Input_Parametreleri!$B$16,0)+IF(ISNUMBER(SEARCH("Deniz",C5)),Input_Parametreleri!$B$15-1,0))</f>
        <v>1870.0000000000002</v>
      </c>
      <c r="AH5" s="4">
        <f t="shared" si="8"/>
        <v>1870.0000000000002</v>
      </c>
      <c r="AI5" s="4">
        <f>AH5*Input_Parametreleri!$B$14</f>
        <v>28.05</v>
      </c>
      <c r="AJ5" s="4">
        <f t="shared" si="9"/>
        <v>156.79615384615383</v>
      </c>
      <c r="AK5" s="4">
        <f t="shared" si="10"/>
        <v>11.92631294919911</v>
      </c>
      <c r="AL5" t="s">
        <v>57</v>
      </c>
      <c r="AM5" t="s">
        <v>74</v>
      </c>
      <c r="AN5" t="s">
        <v>49</v>
      </c>
      <c r="AO5" t="s">
        <v>75</v>
      </c>
      <c r="AP5" t="s">
        <v>76</v>
      </c>
      <c r="AQ5" t="s">
        <v>77</v>
      </c>
      <c r="AR5" t="s">
        <v>78</v>
      </c>
    </row>
    <row r="6" spans="1:44" x14ac:dyDescent="0.3">
      <c r="A6">
        <v>5</v>
      </c>
      <c r="B6" t="s">
        <v>79</v>
      </c>
      <c r="C6" s="11" t="s">
        <v>272</v>
      </c>
      <c r="D6" t="s">
        <v>64</v>
      </c>
      <c r="E6" s="4">
        <v>1000</v>
      </c>
      <c r="F6" s="4">
        <v>7</v>
      </c>
      <c r="G6" s="4">
        <f t="shared" si="0"/>
        <v>7000</v>
      </c>
      <c r="H6" t="s">
        <v>80</v>
      </c>
      <c r="I6" s="5">
        <v>40.936109999999999</v>
      </c>
      <c r="J6" s="5">
        <v>36.646389999999997</v>
      </c>
      <c r="K6" s="4">
        <v>190</v>
      </c>
      <c r="L6" s="5">
        <v>40.945</v>
      </c>
      <c r="M6" s="5">
        <v>36.631</v>
      </c>
      <c r="N6" s="4">
        <f t="shared" si="1"/>
        <v>760</v>
      </c>
      <c r="O6" s="4">
        <v>570</v>
      </c>
      <c r="P6" s="4">
        <f t="shared" si="2"/>
        <v>552.9</v>
      </c>
      <c r="Q6" s="4">
        <f>Input_Parametreleri!$B$7</f>
        <v>0.03</v>
      </c>
      <c r="R6" s="4">
        <f>IFERROR(E6*1000000/(Input_Parametreleri!$B$2*Input_Parametreleri!$B$3*P6*Input_Parametreleri!$B$4),0)</f>
        <v>204.85279472781014</v>
      </c>
      <c r="S6" s="4">
        <f>IFERROR(G6*3600000000/(Input_Parametreleri!$B$2*Input_Parametreleri!$B$3*P6*Input_Parametreleri!$B$4)/1000000,0)</f>
        <v>5.1622904271408148</v>
      </c>
      <c r="T6" s="6">
        <f>Input_Parametreleri!$B$6</f>
        <v>0.78</v>
      </c>
      <c r="U6" s="4">
        <f>IFERROR(E6/Input_Parametreleri!$B$6,0)</f>
        <v>1282.051282051282</v>
      </c>
      <c r="V6" s="4">
        <f>IFERROR(G6/Input_Parametreleri!$B$6,0)</f>
        <v>8974.3589743589746</v>
      </c>
      <c r="W6" s="4">
        <f>Input_Parametreleri!$B$8</f>
        <v>300</v>
      </c>
      <c r="X6" s="4">
        <f t="shared" si="3"/>
        <v>2100</v>
      </c>
      <c r="Y6" s="4">
        <f>Input_Parametreleri!$B$9</f>
        <v>110</v>
      </c>
      <c r="Z6" s="4">
        <f>Input_Parametreleri!$B$10</f>
        <v>45</v>
      </c>
      <c r="AA6" s="4">
        <f t="shared" si="4"/>
        <v>231</v>
      </c>
      <c r="AB6" s="4">
        <f t="shared" si="5"/>
        <v>121.15384615384616</v>
      </c>
      <c r="AC6" s="4">
        <f t="shared" si="6"/>
        <v>109.84615384615384</v>
      </c>
      <c r="AD6" s="4">
        <f>E6*Input_Parametreleri!$B$11/1000000</f>
        <v>45</v>
      </c>
      <c r="AE6" s="4">
        <f>E6*Input_Parametreleri!$B$12/1000000</f>
        <v>30</v>
      </c>
      <c r="AF6" s="4">
        <f t="shared" si="7"/>
        <v>184.84615384615384</v>
      </c>
      <c r="AG6" s="4">
        <f>Input_Parametreleri!$B$13*(1+IF(P6&lt;200,Input_Parametreleri!$B$17,0)+IF(O6&gt;700,Input_Parametreleri!$B$16,0)+IF(ISNUMBER(SEARCH("Deniz",C6)),Input_Parametreleri!$B$15-1,0))</f>
        <v>1700</v>
      </c>
      <c r="AH6" s="4">
        <f t="shared" si="8"/>
        <v>1700</v>
      </c>
      <c r="AI6" s="4">
        <f>AH6*Input_Parametreleri!$B$14</f>
        <v>25.5</v>
      </c>
      <c r="AJ6" s="4">
        <f t="shared" si="9"/>
        <v>159.34615384615384</v>
      </c>
      <c r="AK6" s="4">
        <f t="shared" si="10"/>
        <v>10.668597634564327</v>
      </c>
      <c r="AL6" t="s">
        <v>57</v>
      </c>
      <c r="AM6" t="s">
        <v>81</v>
      </c>
      <c r="AN6" t="s">
        <v>49</v>
      </c>
      <c r="AO6" t="s">
        <v>82</v>
      </c>
      <c r="AP6" t="s">
        <v>83</v>
      </c>
      <c r="AQ6" t="s">
        <v>84</v>
      </c>
      <c r="AR6" t="s">
        <v>62</v>
      </c>
    </row>
    <row r="7" spans="1:44" x14ac:dyDescent="0.3">
      <c r="A7">
        <v>6</v>
      </c>
      <c r="B7" t="s">
        <v>85</v>
      </c>
      <c r="C7" s="11" t="s">
        <v>272</v>
      </c>
      <c r="D7" t="s">
        <v>86</v>
      </c>
      <c r="E7" s="4">
        <v>1000</v>
      </c>
      <c r="F7" s="4">
        <v>7</v>
      </c>
      <c r="G7" s="4">
        <f t="shared" si="0"/>
        <v>7000</v>
      </c>
      <c r="H7" t="s">
        <v>87</v>
      </c>
      <c r="I7" s="5">
        <v>38.15889</v>
      </c>
      <c r="J7" s="5">
        <v>29.205829999999999</v>
      </c>
      <c r="K7" s="4">
        <v>453.5</v>
      </c>
      <c r="L7" s="5">
        <v>38.164000000000001</v>
      </c>
      <c r="M7" s="5">
        <v>29.198</v>
      </c>
      <c r="N7" s="4">
        <f t="shared" si="1"/>
        <v>695.5</v>
      </c>
      <c r="O7" s="4">
        <v>242</v>
      </c>
      <c r="P7" s="4">
        <f t="shared" si="2"/>
        <v>234.73999999999998</v>
      </c>
      <c r="Q7" s="4">
        <f>Input_Parametreleri!$B$7</f>
        <v>0.03</v>
      </c>
      <c r="R7" s="4">
        <f>IFERROR(E7*1000000/(Input_Parametreleri!$B$2*Input_Parametreleri!$B$3*P7*Input_Parametreleri!$B$4),0)</f>
        <v>482.504516507652</v>
      </c>
      <c r="S7" s="4">
        <f>IFERROR(G7*3600000000/(Input_Parametreleri!$B$2*Input_Parametreleri!$B$3*P7*Input_Parametreleri!$B$4)/1000000,0)</f>
        <v>12.15911381599283</v>
      </c>
      <c r="T7" s="6">
        <f>Input_Parametreleri!$B$6</f>
        <v>0.78</v>
      </c>
      <c r="U7" s="4">
        <f>IFERROR(E7/Input_Parametreleri!$B$6,0)</f>
        <v>1282.051282051282</v>
      </c>
      <c r="V7" s="4">
        <f>IFERROR(G7/Input_Parametreleri!$B$6,0)</f>
        <v>8974.3589743589746</v>
      </c>
      <c r="W7" s="4">
        <f>Input_Parametreleri!$B$8</f>
        <v>300</v>
      </c>
      <c r="X7" s="4">
        <f t="shared" si="3"/>
        <v>2100</v>
      </c>
      <c r="Y7" s="4">
        <f>Input_Parametreleri!$B$9</f>
        <v>110</v>
      </c>
      <c r="Z7" s="4">
        <f>Input_Parametreleri!$B$10</f>
        <v>45</v>
      </c>
      <c r="AA7" s="4">
        <f t="shared" si="4"/>
        <v>231</v>
      </c>
      <c r="AB7" s="4">
        <f t="shared" si="5"/>
        <v>121.15384615384616</v>
      </c>
      <c r="AC7" s="4">
        <f t="shared" si="6"/>
        <v>109.84615384615384</v>
      </c>
      <c r="AD7" s="4">
        <f>E7*Input_Parametreleri!$B$11/1000000</f>
        <v>45</v>
      </c>
      <c r="AE7" s="4">
        <f>E7*Input_Parametreleri!$B$12/1000000</f>
        <v>30</v>
      </c>
      <c r="AF7" s="4">
        <f t="shared" si="7"/>
        <v>184.84615384615384</v>
      </c>
      <c r="AG7" s="4">
        <f>Input_Parametreleri!$B$13*(1+IF(P7&lt;200,Input_Parametreleri!$B$17,0)+IF(O7&gt;700,Input_Parametreleri!$B$16,0)+IF(ISNUMBER(SEARCH("Deniz",C7)),Input_Parametreleri!$B$15-1,0))</f>
        <v>1700</v>
      </c>
      <c r="AH7" s="4">
        <f t="shared" si="8"/>
        <v>1700</v>
      </c>
      <c r="AI7" s="4">
        <f>AH7*Input_Parametreleri!$B$14</f>
        <v>25.5</v>
      </c>
      <c r="AJ7" s="4">
        <f t="shared" si="9"/>
        <v>159.34615384615384</v>
      </c>
      <c r="AK7" s="4">
        <f t="shared" si="10"/>
        <v>10.668597634564327</v>
      </c>
      <c r="AL7" t="s">
        <v>57</v>
      </c>
      <c r="AM7" t="s">
        <v>88</v>
      </c>
      <c r="AN7" t="s">
        <v>49</v>
      </c>
      <c r="AO7" t="s">
        <v>89</v>
      </c>
      <c r="AP7" t="s">
        <v>90</v>
      </c>
      <c r="AQ7" t="s">
        <v>91</v>
      </c>
      <c r="AR7" t="s">
        <v>62</v>
      </c>
    </row>
    <row r="8" spans="1:44" x14ac:dyDescent="0.3">
      <c r="A8">
        <v>7</v>
      </c>
      <c r="B8" t="s">
        <v>92</v>
      </c>
      <c r="C8" s="11" t="s">
        <v>272</v>
      </c>
      <c r="D8" t="s">
        <v>55</v>
      </c>
      <c r="E8" s="4">
        <v>500</v>
      </c>
      <c r="F8" s="4">
        <v>7</v>
      </c>
      <c r="G8" s="4">
        <f t="shared" si="0"/>
        <v>3500</v>
      </c>
      <c r="H8" t="s">
        <v>93</v>
      </c>
      <c r="I8" s="5">
        <v>39.966110999999998</v>
      </c>
      <c r="J8" s="5">
        <v>31.74</v>
      </c>
      <c r="K8" s="4">
        <v>557.5</v>
      </c>
      <c r="L8" s="5">
        <v>39.978000000000002</v>
      </c>
      <c r="M8" s="5">
        <v>31.713000000000001</v>
      </c>
      <c r="N8" s="4">
        <f t="shared" si="1"/>
        <v>1070.5</v>
      </c>
      <c r="O8" s="4">
        <v>513</v>
      </c>
      <c r="P8" s="4">
        <f t="shared" si="2"/>
        <v>497.61</v>
      </c>
      <c r="Q8" s="4">
        <f>Input_Parametreleri!$B$7</f>
        <v>0.03</v>
      </c>
      <c r="R8" s="4">
        <f>IFERROR(E8*1000000/(Input_Parametreleri!$B$2*Input_Parametreleri!$B$3*P8*Input_Parametreleri!$B$4),0)</f>
        <v>113.80710818211674</v>
      </c>
      <c r="S8" s="4">
        <f>IFERROR(G8*3600000000/(Input_Parametreleri!$B$2*Input_Parametreleri!$B$3*P8*Input_Parametreleri!$B$4)/1000000,0)</f>
        <v>2.8679391261893419</v>
      </c>
      <c r="T8" s="6">
        <f>Input_Parametreleri!$B$6</f>
        <v>0.78</v>
      </c>
      <c r="U8" s="4">
        <f>IFERROR(E8/Input_Parametreleri!$B$6,0)</f>
        <v>641.02564102564099</v>
      </c>
      <c r="V8" s="4">
        <f>IFERROR(G8/Input_Parametreleri!$B$6,0)</f>
        <v>4487.1794871794873</v>
      </c>
      <c r="W8" s="4">
        <f>Input_Parametreleri!$B$8</f>
        <v>300</v>
      </c>
      <c r="X8" s="4">
        <f t="shared" si="3"/>
        <v>1050</v>
      </c>
      <c r="Y8" s="4">
        <f>Input_Parametreleri!$B$9</f>
        <v>110</v>
      </c>
      <c r="Z8" s="4">
        <f>Input_Parametreleri!$B$10</f>
        <v>45</v>
      </c>
      <c r="AA8" s="4">
        <f t="shared" si="4"/>
        <v>115.5</v>
      </c>
      <c r="AB8" s="4">
        <f t="shared" si="5"/>
        <v>60.57692307692308</v>
      </c>
      <c r="AC8" s="4">
        <f t="shared" si="6"/>
        <v>54.92307692307692</v>
      </c>
      <c r="AD8" s="4">
        <f>E8*Input_Parametreleri!$B$11/1000000</f>
        <v>22.5</v>
      </c>
      <c r="AE8" s="4">
        <f>E8*Input_Parametreleri!$B$12/1000000</f>
        <v>15</v>
      </c>
      <c r="AF8" s="4">
        <f t="shared" si="7"/>
        <v>92.42307692307692</v>
      </c>
      <c r="AG8" s="4">
        <f>Input_Parametreleri!$B$13*(1+IF(P8&lt;200,Input_Parametreleri!$B$17,0)+IF(O8&gt;700,Input_Parametreleri!$B$16,0)+IF(ISNUMBER(SEARCH("Deniz",C8)),Input_Parametreleri!$B$15-1,0))</f>
        <v>1700</v>
      </c>
      <c r="AH8" s="4">
        <f t="shared" si="8"/>
        <v>850</v>
      </c>
      <c r="AI8" s="4">
        <f>AH8*Input_Parametreleri!$B$14</f>
        <v>12.75</v>
      </c>
      <c r="AJ8" s="4">
        <f t="shared" si="9"/>
        <v>79.67307692307692</v>
      </c>
      <c r="AK8" s="4">
        <f t="shared" si="10"/>
        <v>10.668597634564327</v>
      </c>
      <c r="AL8" t="s">
        <v>57</v>
      </c>
      <c r="AM8" t="s">
        <v>94</v>
      </c>
      <c r="AN8" t="s">
        <v>49</v>
      </c>
      <c r="AO8" t="s">
        <v>95</v>
      </c>
      <c r="AP8" t="s">
        <v>96</v>
      </c>
      <c r="AQ8" t="s">
        <v>97</v>
      </c>
      <c r="AR8" t="s">
        <v>62</v>
      </c>
    </row>
    <row r="9" spans="1:44" x14ac:dyDescent="0.3">
      <c r="A9">
        <v>8</v>
      </c>
      <c r="B9" t="s">
        <v>98</v>
      </c>
      <c r="C9" s="11" t="s">
        <v>272</v>
      </c>
      <c r="D9" t="s">
        <v>99</v>
      </c>
      <c r="E9" s="4">
        <v>500</v>
      </c>
      <c r="F9" s="4">
        <v>7</v>
      </c>
      <c r="G9" s="4">
        <f t="shared" si="0"/>
        <v>3500</v>
      </c>
      <c r="H9" t="s">
        <v>100</v>
      </c>
      <c r="I9" s="5">
        <v>37.306666999999997</v>
      </c>
      <c r="J9" s="5">
        <v>30.808889000000001</v>
      </c>
      <c r="K9" s="4">
        <v>187.5</v>
      </c>
      <c r="L9" s="5">
        <v>37.325000000000003</v>
      </c>
      <c r="M9" s="5">
        <v>30.78</v>
      </c>
      <c r="N9" s="4">
        <f t="shared" si="1"/>
        <v>802.5</v>
      </c>
      <c r="O9" s="4">
        <v>615</v>
      </c>
      <c r="P9" s="4">
        <f t="shared" si="2"/>
        <v>596.54999999999995</v>
      </c>
      <c r="Q9" s="4">
        <f>Input_Parametreleri!$B$7</f>
        <v>0.03</v>
      </c>
      <c r="R9" s="4">
        <f>IFERROR(E9*1000000/(Input_Parametreleri!$B$2*Input_Parametreleri!$B$3*P9*Input_Parametreleri!$B$4),0)</f>
        <v>94.93178292264372</v>
      </c>
      <c r="S9" s="4">
        <f>IFERROR(G9*3600000000/(Input_Parametreleri!$B$2*Input_Parametreleri!$B$3*P9*Input_Parametreleri!$B$4)/1000000,0)</f>
        <v>2.3922809296506218</v>
      </c>
      <c r="T9" s="6">
        <f>Input_Parametreleri!$B$6</f>
        <v>0.78</v>
      </c>
      <c r="U9" s="4">
        <f>IFERROR(E9/Input_Parametreleri!$B$6,0)</f>
        <v>641.02564102564099</v>
      </c>
      <c r="V9" s="4">
        <f>IFERROR(G9/Input_Parametreleri!$B$6,0)</f>
        <v>4487.1794871794873</v>
      </c>
      <c r="W9" s="4">
        <f>Input_Parametreleri!$B$8</f>
        <v>300</v>
      </c>
      <c r="X9" s="4">
        <f t="shared" si="3"/>
        <v>1050</v>
      </c>
      <c r="Y9" s="4">
        <f>Input_Parametreleri!$B$9</f>
        <v>110</v>
      </c>
      <c r="Z9" s="4">
        <f>Input_Parametreleri!$B$10</f>
        <v>45</v>
      </c>
      <c r="AA9" s="4">
        <f t="shared" si="4"/>
        <v>115.5</v>
      </c>
      <c r="AB9" s="4">
        <f t="shared" si="5"/>
        <v>60.57692307692308</v>
      </c>
      <c r="AC9" s="4">
        <f t="shared" si="6"/>
        <v>54.92307692307692</v>
      </c>
      <c r="AD9" s="4">
        <f>E9*Input_Parametreleri!$B$11/1000000</f>
        <v>22.5</v>
      </c>
      <c r="AE9" s="4">
        <f>E9*Input_Parametreleri!$B$12/1000000</f>
        <v>15</v>
      </c>
      <c r="AF9" s="4">
        <f t="shared" si="7"/>
        <v>92.42307692307692</v>
      </c>
      <c r="AG9" s="4">
        <f>Input_Parametreleri!$B$13*(1+IF(P9&lt;200,Input_Parametreleri!$B$17,0)+IF(O9&gt;700,Input_Parametreleri!$B$16,0)+IF(ISNUMBER(SEARCH("Deniz",C9)),Input_Parametreleri!$B$15-1,0))</f>
        <v>1700</v>
      </c>
      <c r="AH9" s="4">
        <f t="shared" si="8"/>
        <v>850</v>
      </c>
      <c r="AI9" s="4">
        <f>AH9*Input_Parametreleri!$B$14</f>
        <v>12.75</v>
      </c>
      <c r="AJ9" s="4">
        <f t="shared" si="9"/>
        <v>79.67307692307692</v>
      </c>
      <c r="AK9" s="4">
        <f t="shared" si="10"/>
        <v>10.668597634564327</v>
      </c>
      <c r="AL9" t="s">
        <v>47</v>
      </c>
      <c r="AM9" t="s">
        <v>101</v>
      </c>
      <c r="AN9" t="s">
        <v>49</v>
      </c>
      <c r="AO9" t="s">
        <v>102</v>
      </c>
      <c r="AP9" t="s">
        <v>103</v>
      </c>
      <c r="AQ9" t="s">
        <v>104</v>
      </c>
      <c r="AR9" t="s">
        <v>105</v>
      </c>
    </row>
    <row r="10" spans="1:44" x14ac:dyDescent="0.3">
      <c r="A10">
        <v>9</v>
      </c>
      <c r="B10" t="s">
        <v>106</v>
      </c>
      <c r="C10" s="11" t="s">
        <v>272</v>
      </c>
      <c r="D10" t="s">
        <v>107</v>
      </c>
      <c r="E10" s="4">
        <v>500</v>
      </c>
      <c r="F10" s="4">
        <v>7</v>
      </c>
      <c r="G10" s="4">
        <f t="shared" si="0"/>
        <v>3500</v>
      </c>
      <c r="H10" t="s">
        <v>108</v>
      </c>
      <c r="I10" s="5">
        <v>38.903889999999997</v>
      </c>
      <c r="J10" s="5">
        <v>35.27111</v>
      </c>
      <c r="K10" s="4">
        <v>1100</v>
      </c>
      <c r="L10" s="5">
        <v>38.914000000000001</v>
      </c>
      <c r="M10" s="5">
        <v>35.253</v>
      </c>
      <c r="N10" s="4">
        <f t="shared" si="1"/>
        <v>1360</v>
      </c>
      <c r="O10" s="4">
        <v>260</v>
      </c>
      <c r="P10" s="4">
        <f t="shared" si="2"/>
        <v>252.2</v>
      </c>
      <c r="Q10" s="4">
        <f>Input_Parametreleri!$B$7</f>
        <v>0.03</v>
      </c>
      <c r="R10" s="4">
        <f>IFERROR(E10*1000000/(Input_Parametreleri!$B$2*Input_Parametreleri!$B$3*P10*Input_Parametreleri!$B$4),0)</f>
        <v>224.55017883625339</v>
      </c>
      <c r="S10" s="4">
        <f>IFERROR(G10*3600000000/(Input_Parametreleri!$B$2*Input_Parametreleri!$B$3*P10*Input_Parametreleri!$B$4)/1000000,0)</f>
        <v>5.6586645066735857</v>
      </c>
      <c r="T10" s="6">
        <f>Input_Parametreleri!$B$6</f>
        <v>0.78</v>
      </c>
      <c r="U10" s="4">
        <f>IFERROR(E10/Input_Parametreleri!$B$6,0)</f>
        <v>641.02564102564099</v>
      </c>
      <c r="V10" s="4">
        <f>IFERROR(G10/Input_Parametreleri!$B$6,0)</f>
        <v>4487.1794871794873</v>
      </c>
      <c r="W10" s="4">
        <f>Input_Parametreleri!$B$8</f>
        <v>300</v>
      </c>
      <c r="X10" s="4">
        <f t="shared" si="3"/>
        <v>1050</v>
      </c>
      <c r="Y10" s="4">
        <f>Input_Parametreleri!$B$9</f>
        <v>110</v>
      </c>
      <c r="Z10" s="4">
        <f>Input_Parametreleri!$B$10</f>
        <v>45</v>
      </c>
      <c r="AA10" s="4">
        <f t="shared" si="4"/>
        <v>115.5</v>
      </c>
      <c r="AB10" s="4">
        <f t="shared" si="5"/>
        <v>60.57692307692308</v>
      </c>
      <c r="AC10" s="4">
        <f t="shared" si="6"/>
        <v>54.92307692307692</v>
      </c>
      <c r="AD10" s="4">
        <f>E10*Input_Parametreleri!$B$11/1000000</f>
        <v>22.5</v>
      </c>
      <c r="AE10" s="4">
        <f>E10*Input_Parametreleri!$B$12/1000000</f>
        <v>15</v>
      </c>
      <c r="AF10" s="4">
        <f t="shared" si="7"/>
        <v>92.42307692307692</v>
      </c>
      <c r="AG10" s="4">
        <f>Input_Parametreleri!$B$13*(1+IF(P10&lt;200,Input_Parametreleri!$B$17,0)+IF(O10&gt;700,Input_Parametreleri!$B$16,0)+IF(ISNUMBER(SEARCH("Deniz",C10)),Input_Parametreleri!$B$15-1,0))</f>
        <v>1700</v>
      </c>
      <c r="AH10" s="4">
        <f t="shared" si="8"/>
        <v>850</v>
      </c>
      <c r="AI10" s="4">
        <f>AH10*Input_Parametreleri!$B$14</f>
        <v>12.75</v>
      </c>
      <c r="AJ10" s="4">
        <f t="shared" si="9"/>
        <v>79.67307692307692</v>
      </c>
      <c r="AK10" s="4">
        <f t="shared" si="10"/>
        <v>10.668597634564327</v>
      </c>
      <c r="AL10" t="s">
        <v>57</v>
      </c>
      <c r="AM10" t="s">
        <v>109</v>
      </c>
      <c r="AN10" t="s">
        <v>49</v>
      </c>
      <c r="AO10" t="s">
        <v>110</v>
      </c>
      <c r="AP10" t="s">
        <v>111</v>
      </c>
      <c r="AQ10" t="s">
        <v>112</v>
      </c>
      <c r="AR10" t="s">
        <v>62</v>
      </c>
    </row>
    <row r="11" spans="1:44" x14ac:dyDescent="0.3">
      <c r="A11">
        <v>10</v>
      </c>
      <c r="B11" t="s">
        <v>113</v>
      </c>
      <c r="C11" s="11" t="s">
        <v>272</v>
      </c>
      <c r="D11" t="s">
        <v>114</v>
      </c>
      <c r="E11" s="4">
        <v>500</v>
      </c>
      <c r="F11" s="4">
        <v>7</v>
      </c>
      <c r="G11" s="4">
        <f t="shared" si="0"/>
        <v>3500</v>
      </c>
      <c r="H11" t="s">
        <v>115</v>
      </c>
      <c r="I11" s="5">
        <v>36.908610000000003</v>
      </c>
      <c r="J11" s="5">
        <v>31.531669999999998</v>
      </c>
      <c r="K11" s="4">
        <v>184</v>
      </c>
      <c r="L11" s="5">
        <v>36.915999999999997</v>
      </c>
      <c r="M11" s="5">
        <v>31.529</v>
      </c>
      <c r="N11" s="4">
        <f t="shared" si="1"/>
        <v>556</v>
      </c>
      <c r="O11" s="4">
        <v>372</v>
      </c>
      <c r="P11" s="4">
        <f t="shared" si="2"/>
        <v>360.84</v>
      </c>
      <c r="Q11" s="4">
        <f>Input_Parametreleri!$B$7</f>
        <v>0.03</v>
      </c>
      <c r="R11" s="4">
        <f>IFERROR(E11*1000000/(Input_Parametreleri!$B$2*Input_Parametreleri!$B$3*P11*Input_Parametreleri!$B$4),0)</f>
        <v>156.94367338017713</v>
      </c>
      <c r="S11" s="4">
        <f>IFERROR(G11*3600000000/(Input_Parametreleri!$B$2*Input_Parametreleri!$B$3*P11*Input_Parametreleri!$B$4)/1000000,0)</f>
        <v>3.954980569180464</v>
      </c>
      <c r="T11" s="6">
        <f>Input_Parametreleri!$B$6</f>
        <v>0.78</v>
      </c>
      <c r="U11" s="4">
        <f>IFERROR(E11/Input_Parametreleri!$B$6,0)</f>
        <v>641.02564102564099</v>
      </c>
      <c r="V11" s="4">
        <f>IFERROR(G11/Input_Parametreleri!$B$6,0)</f>
        <v>4487.1794871794873</v>
      </c>
      <c r="W11" s="4">
        <f>Input_Parametreleri!$B$8</f>
        <v>300</v>
      </c>
      <c r="X11" s="4">
        <f t="shared" si="3"/>
        <v>1050</v>
      </c>
      <c r="Y11" s="4">
        <f>Input_Parametreleri!$B$9</f>
        <v>110</v>
      </c>
      <c r="Z11" s="4">
        <f>Input_Parametreleri!$B$10</f>
        <v>45</v>
      </c>
      <c r="AA11" s="4">
        <f t="shared" si="4"/>
        <v>115.5</v>
      </c>
      <c r="AB11" s="4">
        <f t="shared" si="5"/>
        <v>60.57692307692308</v>
      </c>
      <c r="AC11" s="4">
        <f t="shared" si="6"/>
        <v>54.92307692307692</v>
      </c>
      <c r="AD11" s="4">
        <f>E11*Input_Parametreleri!$B$11/1000000</f>
        <v>22.5</v>
      </c>
      <c r="AE11" s="4">
        <f>E11*Input_Parametreleri!$B$12/1000000</f>
        <v>15</v>
      </c>
      <c r="AF11" s="4">
        <f t="shared" si="7"/>
        <v>92.42307692307692</v>
      </c>
      <c r="AG11" s="4">
        <f>Input_Parametreleri!$B$13*(1+IF(P11&lt;200,Input_Parametreleri!$B$17,0)+IF(O11&gt;700,Input_Parametreleri!$B$16,0)+IF(ISNUMBER(SEARCH("Deniz",C11)),Input_Parametreleri!$B$15-1,0))</f>
        <v>1700</v>
      </c>
      <c r="AH11" s="4">
        <f t="shared" si="8"/>
        <v>850</v>
      </c>
      <c r="AI11" s="4">
        <f>AH11*Input_Parametreleri!$B$14</f>
        <v>12.75</v>
      </c>
      <c r="AJ11" s="4">
        <f t="shared" si="9"/>
        <v>79.67307692307692</v>
      </c>
      <c r="AK11" s="4">
        <f t="shared" si="10"/>
        <v>10.668597634564327</v>
      </c>
      <c r="AL11" t="s">
        <v>57</v>
      </c>
      <c r="AM11" t="s">
        <v>116</v>
      </c>
      <c r="AN11" t="s">
        <v>49</v>
      </c>
      <c r="AO11" t="s">
        <v>117</v>
      </c>
      <c r="AP11" t="s">
        <v>118</v>
      </c>
      <c r="AQ11" t="s">
        <v>119</v>
      </c>
      <c r="AR11" t="s">
        <v>120</v>
      </c>
    </row>
    <row r="12" spans="1:44" x14ac:dyDescent="0.3">
      <c r="A12">
        <v>11</v>
      </c>
      <c r="B12" t="s">
        <v>121</v>
      </c>
      <c r="C12" s="11" t="s">
        <v>272</v>
      </c>
      <c r="D12" t="s">
        <v>122</v>
      </c>
      <c r="E12" s="4">
        <v>500</v>
      </c>
      <c r="F12" s="4">
        <v>7</v>
      </c>
      <c r="G12" s="4">
        <f t="shared" si="0"/>
        <v>3500</v>
      </c>
      <c r="H12" t="s">
        <v>123</v>
      </c>
      <c r="I12" s="5">
        <v>37.272778000000002</v>
      </c>
      <c r="J12" s="5">
        <v>36.270833000000003</v>
      </c>
      <c r="K12" s="4">
        <v>155</v>
      </c>
      <c r="L12" s="5">
        <v>37.280999999999999</v>
      </c>
      <c r="M12" s="5">
        <v>36.265000000000001</v>
      </c>
      <c r="N12" s="4">
        <f t="shared" si="1"/>
        <v>309</v>
      </c>
      <c r="O12" s="4">
        <v>154</v>
      </c>
      <c r="P12" s="4">
        <f t="shared" si="2"/>
        <v>149.38</v>
      </c>
      <c r="Q12" s="4">
        <f>Input_Parametreleri!$B$7</f>
        <v>0.03</v>
      </c>
      <c r="R12" s="4">
        <f>IFERROR(E12*1000000/(Input_Parametreleri!$B$2*Input_Parametreleri!$B$3*P12*Input_Parametreleri!$B$4),0)</f>
        <v>379.11069154172657</v>
      </c>
      <c r="S12" s="4">
        <f>IFERROR(G12*3600000000/(Input_Parametreleri!$B$2*Input_Parametreleri!$B$3*P12*Input_Parametreleri!$B$4)/1000000,0)</f>
        <v>9.5535894268515094</v>
      </c>
      <c r="T12" s="6">
        <f>Input_Parametreleri!$B$6</f>
        <v>0.78</v>
      </c>
      <c r="U12" s="4">
        <f>IFERROR(E12/Input_Parametreleri!$B$6,0)</f>
        <v>641.02564102564099</v>
      </c>
      <c r="V12" s="4">
        <f>IFERROR(G12/Input_Parametreleri!$B$6,0)</f>
        <v>4487.1794871794873</v>
      </c>
      <c r="W12" s="4">
        <f>Input_Parametreleri!$B$8</f>
        <v>300</v>
      </c>
      <c r="X12" s="4">
        <f t="shared" si="3"/>
        <v>1050</v>
      </c>
      <c r="Y12" s="4">
        <f>Input_Parametreleri!$B$9</f>
        <v>110</v>
      </c>
      <c r="Z12" s="4">
        <f>Input_Parametreleri!$B$10</f>
        <v>45</v>
      </c>
      <c r="AA12" s="4">
        <f t="shared" si="4"/>
        <v>115.5</v>
      </c>
      <c r="AB12" s="4">
        <f t="shared" si="5"/>
        <v>60.57692307692308</v>
      </c>
      <c r="AC12" s="4">
        <f t="shared" si="6"/>
        <v>54.92307692307692</v>
      </c>
      <c r="AD12" s="4">
        <f>E12*Input_Parametreleri!$B$11/1000000</f>
        <v>22.5</v>
      </c>
      <c r="AE12" s="4">
        <f>E12*Input_Parametreleri!$B$12/1000000</f>
        <v>15</v>
      </c>
      <c r="AF12" s="4">
        <f t="shared" si="7"/>
        <v>92.42307692307692</v>
      </c>
      <c r="AG12" s="4">
        <f>Input_Parametreleri!$B$13*(1+IF(P12&lt;200,Input_Parametreleri!$B$17,0)+IF(O12&gt;700,Input_Parametreleri!$B$16,0)+IF(ISNUMBER(SEARCH("Deniz",C12)),Input_Parametreleri!$B$15-1,0))</f>
        <v>1870.0000000000002</v>
      </c>
      <c r="AH12" s="4">
        <f t="shared" si="8"/>
        <v>935.00000000000011</v>
      </c>
      <c r="AI12" s="4">
        <f>AH12*Input_Parametreleri!$B$14</f>
        <v>14.025</v>
      </c>
      <c r="AJ12" s="4">
        <f t="shared" si="9"/>
        <v>78.398076923076914</v>
      </c>
      <c r="AK12" s="4">
        <f t="shared" si="10"/>
        <v>11.92631294919911</v>
      </c>
      <c r="AL12" t="s">
        <v>57</v>
      </c>
      <c r="AM12" t="s">
        <v>124</v>
      </c>
      <c r="AN12" t="s">
        <v>49</v>
      </c>
      <c r="AO12" t="s">
        <v>125</v>
      </c>
      <c r="AP12" t="s">
        <v>126</v>
      </c>
      <c r="AQ12" t="s">
        <v>127</v>
      </c>
      <c r="AR12" t="s">
        <v>62</v>
      </c>
    </row>
    <row r="13" spans="1:44" x14ac:dyDescent="0.3">
      <c r="A13">
        <v>12</v>
      </c>
      <c r="B13" t="s">
        <v>128</v>
      </c>
      <c r="C13" s="11" t="s">
        <v>272</v>
      </c>
      <c r="D13" t="s">
        <v>129</v>
      </c>
      <c r="E13" s="4">
        <v>300</v>
      </c>
      <c r="F13" s="4">
        <v>7</v>
      </c>
      <c r="G13" s="4">
        <f t="shared" si="0"/>
        <v>2100</v>
      </c>
      <c r="H13" t="s">
        <v>130</v>
      </c>
      <c r="I13" s="5">
        <v>38.616667</v>
      </c>
      <c r="J13" s="5">
        <v>28.311667</v>
      </c>
      <c r="K13" s="4">
        <v>244.2</v>
      </c>
      <c r="L13" s="5">
        <v>38.624000000000002</v>
      </c>
      <c r="M13" s="5">
        <v>28.297999999999998</v>
      </c>
      <c r="N13" s="4">
        <f t="shared" si="1"/>
        <v>457.2</v>
      </c>
      <c r="O13" s="4">
        <v>213</v>
      </c>
      <c r="P13" s="4">
        <f t="shared" si="2"/>
        <v>206.60999999999999</v>
      </c>
      <c r="Q13" s="4">
        <f>Input_Parametreleri!$B$7</f>
        <v>0.03</v>
      </c>
      <c r="R13" s="4">
        <f>IFERROR(E13*1000000/(Input_Parametreleri!$B$2*Input_Parametreleri!$B$3*P13*Input_Parametreleri!$B$4),0)</f>
        <v>164.45928590824195</v>
      </c>
      <c r="S13" s="4">
        <f>IFERROR(G13*3600000000/(Input_Parametreleri!$B$2*Input_Parametreleri!$B$3*P13*Input_Parametreleri!$B$4)/1000000,0)</f>
        <v>4.1443740048876974</v>
      </c>
      <c r="T13" s="6">
        <f>Input_Parametreleri!$B$6</f>
        <v>0.78</v>
      </c>
      <c r="U13" s="4">
        <f>IFERROR(E13/Input_Parametreleri!$B$6,0)</f>
        <v>384.61538461538458</v>
      </c>
      <c r="V13" s="4">
        <f>IFERROR(G13/Input_Parametreleri!$B$6,0)</f>
        <v>2692.3076923076924</v>
      </c>
      <c r="W13" s="4">
        <f>Input_Parametreleri!$B$8</f>
        <v>300</v>
      </c>
      <c r="X13" s="4">
        <f t="shared" si="3"/>
        <v>630</v>
      </c>
      <c r="Y13" s="4">
        <f>Input_Parametreleri!$B$9</f>
        <v>110</v>
      </c>
      <c r="Z13" s="4">
        <f>Input_Parametreleri!$B$10</f>
        <v>45</v>
      </c>
      <c r="AA13" s="4">
        <f t="shared" si="4"/>
        <v>69.3</v>
      </c>
      <c r="AB13" s="4">
        <f t="shared" si="5"/>
        <v>36.346153846153847</v>
      </c>
      <c r="AC13" s="4">
        <f t="shared" si="6"/>
        <v>32.95384615384615</v>
      </c>
      <c r="AD13" s="4">
        <f>E13*Input_Parametreleri!$B$11/1000000</f>
        <v>13.5</v>
      </c>
      <c r="AE13" s="4">
        <f>E13*Input_Parametreleri!$B$12/1000000</f>
        <v>9</v>
      </c>
      <c r="AF13" s="4">
        <f t="shared" si="7"/>
        <v>55.45384615384615</v>
      </c>
      <c r="AG13" s="4">
        <f>Input_Parametreleri!$B$13*(1+IF(P13&lt;200,Input_Parametreleri!$B$17,0)+IF(O13&gt;700,Input_Parametreleri!$B$16,0)+IF(ISNUMBER(SEARCH("Deniz",C13)),Input_Parametreleri!$B$15-1,0))</f>
        <v>1700</v>
      </c>
      <c r="AH13" s="4">
        <f t="shared" si="8"/>
        <v>510</v>
      </c>
      <c r="AI13" s="4">
        <f>AH13*Input_Parametreleri!$B$14</f>
        <v>7.6499999999999995</v>
      </c>
      <c r="AJ13" s="4">
        <f t="shared" si="9"/>
        <v>47.803846153846152</v>
      </c>
      <c r="AK13" s="4">
        <f t="shared" si="10"/>
        <v>10.668597634564327</v>
      </c>
      <c r="AL13" t="s">
        <v>47</v>
      </c>
      <c r="AM13" t="s">
        <v>131</v>
      </c>
      <c r="AN13" t="s">
        <v>49</v>
      </c>
      <c r="AO13" t="s">
        <v>132</v>
      </c>
      <c r="AP13" t="s">
        <v>133</v>
      </c>
      <c r="AQ13" t="s">
        <v>134</v>
      </c>
      <c r="AR13" t="s">
        <v>135</v>
      </c>
    </row>
    <row r="14" spans="1:44" x14ac:dyDescent="0.3">
      <c r="A14">
        <v>13</v>
      </c>
      <c r="B14" t="s">
        <v>136</v>
      </c>
      <c r="C14" t="s">
        <v>137</v>
      </c>
      <c r="D14" t="s">
        <v>138</v>
      </c>
      <c r="E14" s="4">
        <v>100</v>
      </c>
      <c r="F14" s="4">
        <v>7</v>
      </c>
      <c r="G14" s="4">
        <f t="shared" si="0"/>
        <v>700</v>
      </c>
      <c r="H14" t="s">
        <v>139</v>
      </c>
      <c r="I14" s="5">
        <v>36.229999999999997</v>
      </c>
      <c r="J14" s="5">
        <v>33.799999999999997</v>
      </c>
      <c r="K14" s="4">
        <v>0</v>
      </c>
      <c r="L14" s="5">
        <v>36.284999999999997</v>
      </c>
      <c r="M14" s="5">
        <v>33.844000000000001</v>
      </c>
      <c r="N14" s="4">
        <v>500</v>
      </c>
      <c r="O14" s="4">
        <v>500</v>
      </c>
      <c r="P14" s="4">
        <v>485</v>
      </c>
      <c r="Q14" s="4">
        <f>Input_Parametreleri!$B$7</f>
        <v>0.03</v>
      </c>
      <c r="R14" s="4">
        <f>IFERROR(E14*1000000/(Input_Parametreleri!$B$2*Input_Parametreleri!$B$3*P14*Input_Parametreleri!$B$4),0)</f>
        <v>23.353218598970358</v>
      </c>
      <c r="S14" s="4">
        <f>IFERROR(G14*3600000000/(Input_Parametreleri!$B$2*Input_Parametreleri!$B$3*P14*Input_Parametreleri!$B$4)/1000000,0)</f>
        <v>0.58850110869405303</v>
      </c>
      <c r="T14" s="6">
        <f>Input_Parametreleri!$B$6</f>
        <v>0.78</v>
      </c>
      <c r="U14" s="4">
        <f>IFERROR(E14/Input_Parametreleri!$B$6,0)</f>
        <v>128.2051282051282</v>
      </c>
      <c r="V14" s="4">
        <f>IFERROR(G14/Input_Parametreleri!$B$6,0)</f>
        <v>897.43589743589746</v>
      </c>
      <c r="W14" s="4">
        <f>Input_Parametreleri!$B$8</f>
        <v>300</v>
      </c>
      <c r="X14" s="4">
        <f t="shared" si="3"/>
        <v>210</v>
      </c>
      <c r="Y14" s="4">
        <f>Input_Parametreleri!$B$9</f>
        <v>110</v>
      </c>
      <c r="Z14" s="4">
        <f>Input_Parametreleri!$B$10</f>
        <v>45</v>
      </c>
      <c r="AA14" s="4">
        <f t="shared" si="4"/>
        <v>23.1</v>
      </c>
      <c r="AB14" s="4">
        <f t="shared" si="5"/>
        <v>12.115384615384617</v>
      </c>
      <c r="AC14" s="4">
        <f t="shared" si="6"/>
        <v>10.984615384615385</v>
      </c>
      <c r="AD14" s="4">
        <f>E14*Input_Parametreleri!$B$11/1000000</f>
        <v>4.5</v>
      </c>
      <c r="AE14" s="4">
        <f>E14*Input_Parametreleri!$B$12/1000000</f>
        <v>3</v>
      </c>
      <c r="AF14" s="4">
        <f t="shared" si="7"/>
        <v>18.484615384615385</v>
      </c>
      <c r="AG14" s="4">
        <v>1670.7716329078846</v>
      </c>
      <c r="AH14" s="4">
        <v>167.07716329078846</v>
      </c>
      <c r="AI14" s="4">
        <v>2.5061574493618268</v>
      </c>
      <c r="AJ14" s="4">
        <v>15.978457935253559</v>
      </c>
      <c r="AK14" s="4">
        <v>10.456400984863697</v>
      </c>
      <c r="AL14" t="s">
        <v>47</v>
      </c>
      <c r="AM14" t="s">
        <v>273</v>
      </c>
      <c r="AN14" t="s">
        <v>49</v>
      </c>
      <c r="AO14" t="s">
        <v>140</v>
      </c>
      <c r="AP14" t="s">
        <v>141</v>
      </c>
      <c r="AQ14" t="s">
        <v>142</v>
      </c>
      <c r="AR14" t="s">
        <v>143</v>
      </c>
    </row>
    <row r="15" spans="1:44" x14ac:dyDescent="0.3">
      <c r="A15">
        <v>14</v>
      </c>
      <c r="B15" t="s">
        <v>144</v>
      </c>
      <c r="C15" t="s">
        <v>137</v>
      </c>
      <c r="D15" t="s">
        <v>138</v>
      </c>
      <c r="E15" s="4">
        <v>100</v>
      </c>
      <c r="F15" s="4">
        <v>7</v>
      </c>
      <c r="G15" s="4">
        <f t="shared" si="0"/>
        <v>700</v>
      </c>
      <c r="H15" t="s">
        <v>145</v>
      </c>
      <c r="I15" s="5">
        <v>36.097000000000001</v>
      </c>
      <c r="J15" s="5">
        <v>32.979999999999997</v>
      </c>
      <c r="K15" s="4">
        <v>0</v>
      </c>
      <c r="L15" s="5">
        <v>36.164999999999999</v>
      </c>
      <c r="M15" s="5">
        <v>33.020000000000003</v>
      </c>
      <c r="N15" s="4">
        <v>600</v>
      </c>
      <c r="O15" s="4">
        <v>600</v>
      </c>
      <c r="P15" s="4">
        <v>582</v>
      </c>
      <c r="Q15" s="4">
        <f>Input_Parametreleri!$B$7</f>
        <v>0.03</v>
      </c>
      <c r="R15" s="4">
        <f>IFERROR(E15*1000000/(Input_Parametreleri!$B$2*Input_Parametreleri!$B$3*P15*Input_Parametreleri!$B$4),0)</f>
        <v>19.461015499141965</v>
      </c>
      <c r="S15" s="4">
        <f>IFERROR(G15*3600000000/(Input_Parametreleri!$B$2*Input_Parametreleri!$B$3*P15*Input_Parametreleri!$B$4)/1000000,0)</f>
        <v>0.49041759057837747</v>
      </c>
      <c r="T15" s="6">
        <f>Input_Parametreleri!$B$6</f>
        <v>0.78</v>
      </c>
      <c r="U15" s="4">
        <f>IFERROR(E15/Input_Parametreleri!$B$6,0)</f>
        <v>128.2051282051282</v>
      </c>
      <c r="V15" s="4">
        <f>IFERROR(G15/Input_Parametreleri!$B$6,0)</f>
        <v>897.43589743589746</v>
      </c>
      <c r="W15" s="4">
        <f>Input_Parametreleri!$B$8</f>
        <v>300</v>
      </c>
      <c r="X15" s="4">
        <f t="shared" si="3"/>
        <v>210</v>
      </c>
      <c r="Y15" s="4">
        <f>Input_Parametreleri!$B$9</f>
        <v>110</v>
      </c>
      <c r="Z15" s="4">
        <f>Input_Parametreleri!$B$10</f>
        <v>45</v>
      </c>
      <c r="AA15" s="4">
        <f t="shared" si="4"/>
        <v>23.1</v>
      </c>
      <c r="AB15" s="4">
        <f t="shared" si="5"/>
        <v>12.115384615384617</v>
      </c>
      <c r="AC15" s="4">
        <f t="shared" si="6"/>
        <v>10.984615384615385</v>
      </c>
      <c r="AD15" s="4">
        <f>E15*Input_Parametreleri!$B$11/1000000</f>
        <v>4.5</v>
      </c>
      <c r="AE15" s="4">
        <f>E15*Input_Parametreleri!$B$12/1000000</f>
        <v>3</v>
      </c>
      <c r="AF15" s="4">
        <f t="shared" si="7"/>
        <v>18.484615384615385</v>
      </c>
      <c r="AG15" s="4">
        <v>1672.7452263636155</v>
      </c>
      <c r="AH15" s="4">
        <v>167.27452263636155</v>
      </c>
      <c r="AI15" s="4">
        <v>2.5091178395454232</v>
      </c>
      <c r="AJ15" s="4">
        <v>15.975497545069961</v>
      </c>
      <c r="AK15" s="4">
        <v>10.470692519243789</v>
      </c>
      <c r="AL15" t="s">
        <v>47</v>
      </c>
      <c r="AM15" t="s">
        <v>274</v>
      </c>
      <c r="AN15" t="s">
        <v>49</v>
      </c>
      <c r="AO15" t="s">
        <v>146</v>
      </c>
      <c r="AP15" t="s">
        <v>147</v>
      </c>
      <c r="AQ15" t="s">
        <v>142</v>
      </c>
      <c r="AR15" t="s">
        <v>143</v>
      </c>
    </row>
    <row r="16" spans="1:44" x14ac:dyDescent="0.3">
      <c r="A16">
        <v>15</v>
      </c>
      <c r="B16" t="s">
        <v>148</v>
      </c>
      <c r="C16" t="s">
        <v>137</v>
      </c>
      <c r="D16" t="s">
        <v>149</v>
      </c>
      <c r="E16" s="4">
        <v>100</v>
      </c>
      <c r="F16" s="4">
        <v>7</v>
      </c>
      <c r="G16" s="4">
        <f t="shared" si="0"/>
        <v>700</v>
      </c>
      <c r="H16" t="s">
        <v>150</v>
      </c>
      <c r="I16" s="5">
        <v>38.628999999999998</v>
      </c>
      <c r="J16" s="5">
        <v>26.57</v>
      </c>
      <c r="K16" s="4">
        <v>0</v>
      </c>
      <c r="L16" s="5">
        <v>38.659999999999997</v>
      </c>
      <c r="M16" s="5">
        <v>26.61</v>
      </c>
      <c r="N16" s="4">
        <v>900</v>
      </c>
      <c r="O16" s="4">
        <v>900</v>
      </c>
      <c r="P16" s="4">
        <v>873</v>
      </c>
      <c r="Q16" s="4">
        <f>Input_Parametreleri!$B$7</f>
        <v>0.03</v>
      </c>
      <c r="R16" s="4">
        <f>IFERROR(E16*1000000/(Input_Parametreleri!$B$2*Input_Parametreleri!$B$3*P16*Input_Parametreleri!$B$4),0)</f>
        <v>12.97401033276131</v>
      </c>
      <c r="S16" s="4">
        <f>IFERROR(G16*3600000000/(Input_Parametreleri!$B$2*Input_Parametreleri!$B$3*P16*Input_Parametreleri!$B$4)/1000000,0)</f>
        <v>0.32694506038558502</v>
      </c>
      <c r="T16" s="6">
        <f>Input_Parametreleri!$B$6</f>
        <v>0.78</v>
      </c>
      <c r="U16" s="4">
        <f>IFERROR(E16/Input_Parametreleri!$B$6,0)</f>
        <v>128.2051282051282</v>
      </c>
      <c r="V16" s="4">
        <f>IFERROR(G16/Input_Parametreleri!$B$6,0)</f>
        <v>897.43589743589746</v>
      </c>
      <c r="W16" s="4">
        <f>Input_Parametreleri!$B$8</f>
        <v>300</v>
      </c>
      <c r="X16" s="4">
        <f t="shared" si="3"/>
        <v>210</v>
      </c>
      <c r="Y16" s="4">
        <f>Input_Parametreleri!$B$9</f>
        <v>110</v>
      </c>
      <c r="Z16" s="4">
        <f>Input_Parametreleri!$B$10</f>
        <v>45</v>
      </c>
      <c r="AA16" s="4">
        <f t="shared" si="4"/>
        <v>23.1</v>
      </c>
      <c r="AB16" s="4">
        <f t="shared" si="5"/>
        <v>12.115384615384617</v>
      </c>
      <c r="AC16" s="4">
        <f t="shared" si="6"/>
        <v>10.984615384615385</v>
      </c>
      <c r="AD16" s="4">
        <f>E16*Input_Parametreleri!$B$11/1000000</f>
        <v>4.5</v>
      </c>
      <c r="AE16" s="4">
        <f>E16*Input_Parametreleri!$B$12/1000000</f>
        <v>3</v>
      </c>
      <c r="AF16" s="4">
        <f t="shared" si="7"/>
        <v>18.484615384615385</v>
      </c>
      <c r="AG16" s="4">
        <v>2107.9561305702664</v>
      </c>
      <c r="AH16" s="4">
        <v>210.79561305702663</v>
      </c>
      <c r="AI16" s="4">
        <v>3.1619341958553995</v>
      </c>
      <c r="AJ16" s="4">
        <v>15.322681188759985</v>
      </c>
      <c r="AK16" s="4">
        <v>13.757097107238426</v>
      </c>
      <c r="AL16" t="s">
        <v>47</v>
      </c>
      <c r="AM16" t="s">
        <v>275</v>
      </c>
      <c r="AN16" t="s">
        <v>49</v>
      </c>
      <c r="AO16" t="s">
        <v>151</v>
      </c>
      <c r="AP16" t="s">
        <v>152</v>
      </c>
      <c r="AQ16" t="s">
        <v>142</v>
      </c>
      <c r="AR16" t="s">
        <v>143</v>
      </c>
    </row>
  </sheetData>
  <conditionalFormatting sqref="P2:P16">
    <cfRule type="dataBar" priority="2">
      <dataBar>
        <cfvo type="min"/>
        <cfvo type="max"/>
        <color rgb="FF60A5FA"/>
      </dataBar>
    </cfRule>
    <cfRule type="dataBar" priority="3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{334CC3FD-B46F-6BF2-EBCC-7613F4E6006E}</x14:id>
        </ext>
      </extLst>
    </cfRule>
  </conditionalFormatting>
  <conditionalFormatting sqref="AK2:AK16">
    <cfRule type="colorScale" priority="1">
      <colorScale>
        <cfvo type="min"/>
        <cfvo type="percentile" val="50"/>
        <cfvo type="max"/>
        <color rgb="FFDCFCE7"/>
        <color rgb="FFFEF3C7"/>
        <color rgb="FFFEE2E2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4CC3FD-B46F-6BF2-EBCC-7613F4E6006E}">
            <x14:dataBar>
              <x14:cfvo type="min"/>
              <x14:cfvo type="max"/>
              <x14:negativeFillColor auto="1"/>
              <x14:axisColor auto="1"/>
            </x14:dataBar>
          </x14:cfRule>
          <xm:sqref>P2:P16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topLeftCell="G1" workbookViewId="0">
      <selection activeCell="J3" sqref="J3"/>
    </sheetView>
  </sheetViews>
  <sheetFormatPr defaultRowHeight="14.4" x14ac:dyDescent="0.3"/>
  <cols>
    <col min="1" max="1" width="16" customWidth="1"/>
    <col min="2" max="2" width="32" customWidth="1"/>
    <col min="3" max="3" width="30" customWidth="1"/>
    <col min="4" max="13" width="16" customWidth="1"/>
    <col min="14" max="17" width="44" customWidth="1"/>
    <col min="18" max="18" width="58" customWidth="1"/>
  </cols>
  <sheetData>
    <row r="1" spans="1:18" ht="28.8" x14ac:dyDescent="0.3">
      <c r="A1" s="1" t="s">
        <v>0</v>
      </c>
      <c r="B1" s="1" t="s">
        <v>1</v>
      </c>
      <c r="C1" s="1" t="s">
        <v>153</v>
      </c>
      <c r="D1" s="1" t="s">
        <v>8</v>
      </c>
      <c r="E1" s="1" t="s">
        <v>9</v>
      </c>
      <c r="F1" s="1" t="s">
        <v>154</v>
      </c>
      <c r="G1" s="1" t="s">
        <v>11</v>
      </c>
      <c r="H1" s="1" t="s">
        <v>12</v>
      </c>
      <c r="I1" s="1" t="s">
        <v>155</v>
      </c>
      <c r="J1" s="1" t="s">
        <v>14</v>
      </c>
      <c r="K1" s="1" t="s">
        <v>15</v>
      </c>
      <c r="L1" s="1" t="s">
        <v>156</v>
      </c>
      <c r="M1" s="1" t="s">
        <v>157</v>
      </c>
      <c r="N1" s="1" t="s">
        <v>40</v>
      </c>
      <c r="O1" s="1" t="s">
        <v>41</v>
      </c>
      <c r="P1" s="1" t="s">
        <v>158</v>
      </c>
      <c r="Q1" s="1" t="s">
        <v>159</v>
      </c>
      <c r="R1" s="1" t="s">
        <v>160</v>
      </c>
    </row>
    <row r="2" spans="1:18" ht="28.8" x14ac:dyDescent="0.3">
      <c r="A2" s="2">
        <v>1</v>
      </c>
      <c r="B2" s="2" t="s">
        <v>44</v>
      </c>
      <c r="C2" s="2" t="s">
        <v>46</v>
      </c>
      <c r="D2" s="7">
        <v>40.033059999999999</v>
      </c>
      <c r="E2" s="7">
        <v>31.016110000000001</v>
      </c>
      <c r="F2" s="7">
        <v>389</v>
      </c>
      <c r="G2" s="7">
        <v>40.057000000000002</v>
      </c>
      <c r="H2" s="7">
        <v>30.978999999999999</v>
      </c>
      <c r="I2" s="7">
        <v>769</v>
      </c>
      <c r="J2" s="7">
        <v>380</v>
      </c>
      <c r="K2" s="7">
        <f>J2*(1-Input_Parametreleri!$B$7)</f>
        <v>368.59999999999997</v>
      </c>
      <c r="L2" s="3">
        <v>4.1310185108079001</v>
      </c>
      <c r="M2" s="3">
        <v>4.0510000000000002</v>
      </c>
      <c r="N2" s="10" t="s">
        <v>50</v>
      </c>
      <c r="O2" s="10" t="s">
        <v>51</v>
      </c>
      <c r="P2" s="2" t="s">
        <v>52</v>
      </c>
      <c r="Q2" s="2" t="s">
        <v>53</v>
      </c>
      <c r="R2" s="2" t="s">
        <v>161</v>
      </c>
    </row>
    <row r="3" spans="1:18" ht="28.8" x14ac:dyDescent="0.3">
      <c r="A3" s="2">
        <v>2</v>
      </c>
      <c r="B3" s="2" t="s">
        <v>54</v>
      </c>
      <c r="C3" s="2" t="s">
        <v>56</v>
      </c>
      <c r="D3" s="7">
        <v>40.04</v>
      </c>
      <c r="E3" s="7">
        <v>31.414166999999999</v>
      </c>
      <c r="F3" s="7">
        <v>475</v>
      </c>
      <c r="G3" s="7">
        <v>40.048000000000002</v>
      </c>
      <c r="H3" s="7">
        <v>31.396000000000001</v>
      </c>
      <c r="I3" s="7">
        <v>910</v>
      </c>
      <c r="J3" s="7">
        <v>435</v>
      </c>
      <c r="K3" s="7">
        <f>J3*(1-Input_Parametreleri!$B$7)</f>
        <v>421.95</v>
      </c>
      <c r="L3" s="3">
        <v>1.784068562508204</v>
      </c>
      <c r="M3" s="3">
        <v>1.7969999999999999</v>
      </c>
      <c r="N3" s="2" t="s">
        <v>59</v>
      </c>
      <c r="O3" s="10" t="s">
        <v>60</v>
      </c>
      <c r="P3" s="2" t="s">
        <v>61</v>
      </c>
      <c r="Q3" s="2" t="s">
        <v>62</v>
      </c>
      <c r="R3" s="2" t="s">
        <v>161</v>
      </c>
    </row>
    <row r="4" spans="1:18" ht="28.8" x14ac:dyDescent="0.3">
      <c r="A4" s="2">
        <v>3</v>
      </c>
      <c r="B4" s="2" t="s">
        <v>63</v>
      </c>
      <c r="C4" s="2" t="s">
        <v>65</v>
      </c>
      <c r="D4" s="7">
        <v>41.363332999999997</v>
      </c>
      <c r="E4" s="7">
        <v>35.724167000000001</v>
      </c>
      <c r="F4" s="7">
        <v>190</v>
      </c>
      <c r="G4" s="7">
        <v>41.381999999999998</v>
      </c>
      <c r="H4" s="7">
        <v>35.673999999999999</v>
      </c>
      <c r="I4" s="7">
        <v>801</v>
      </c>
      <c r="J4" s="7">
        <v>611</v>
      </c>
      <c r="K4" s="7">
        <f>J4*(1-Input_Parametreleri!$B$7)</f>
        <v>592.66999999999996</v>
      </c>
      <c r="L4" s="3">
        <v>4.672478484191485</v>
      </c>
      <c r="M4" s="3">
        <v>4.5549999999999997</v>
      </c>
      <c r="N4" s="2" t="s">
        <v>67</v>
      </c>
      <c r="O4" s="2" t="s">
        <v>68</v>
      </c>
      <c r="P4" s="2" t="s">
        <v>69</v>
      </c>
      <c r="Q4" s="2" t="s">
        <v>70</v>
      </c>
      <c r="R4" s="2" t="s">
        <v>161</v>
      </c>
    </row>
    <row r="5" spans="1:18" ht="28.8" x14ac:dyDescent="0.3">
      <c r="A5" s="2">
        <v>4</v>
      </c>
      <c r="B5" s="2" t="s">
        <v>71</v>
      </c>
      <c r="C5" s="2" t="s">
        <v>73</v>
      </c>
      <c r="D5" s="7">
        <v>38.786110000000001</v>
      </c>
      <c r="E5" s="7">
        <v>35.05583</v>
      </c>
      <c r="F5" s="7">
        <v>980</v>
      </c>
      <c r="G5" s="7">
        <v>38.793889999999998</v>
      </c>
      <c r="H5" s="7">
        <v>35.055</v>
      </c>
      <c r="I5" s="7">
        <v>1141</v>
      </c>
      <c r="J5" s="7">
        <v>161</v>
      </c>
      <c r="K5" s="7">
        <f>J5*(1-Input_Parametreleri!$B$7)</f>
        <v>156.16999999999999</v>
      </c>
      <c r="L5" s="3">
        <v>0.86808349789183981</v>
      </c>
      <c r="M5" s="3">
        <v>0.46500000000000002</v>
      </c>
      <c r="N5" s="2" t="s">
        <v>75</v>
      </c>
      <c r="O5" s="2" t="s">
        <v>76</v>
      </c>
      <c r="P5" s="2" t="s">
        <v>77</v>
      </c>
      <c r="Q5" s="2" t="s">
        <v>78</v>
      </c>
      <c r="R5" s="2" t="s">
        <v>161</v>
      </c>
    </row>
    <row r="6" spans="1:18" ht="28.8" x14ac:dyDescent="0.3">
      <c r="A6" s="2">
        <v>5</v>
      </c>
      <c r="B6" s="2" t="s">
        <v>79</v>
      </c>
      <c r="C6" s="2" t="s">
        <v>80</v>
      </c>
      <c r="D6" s="7">
        <v>40.936109999999999</v>
      </c>
      <c r="E6" s="7">
        <v>36.646389999999997</v>
      </c>
      <c r="F6" s="7">
        <v>190</v>
      </c>
      <c r="G6" s="7">
        <v>40.945</v>
      </c>
      <c r="H6" s="7">
        <v>36.631</v>
      </c>
      <c r="I6" s="7">
        <v>760</v>
      </c>
      <c r="J6" s="7">
        <v>570</v>
      </c>
      <c r="K6" s="7">
        <f>J6*(1-Input_Parametreleri!$B$7)</f>
        <v>552.9</v>
      </c>
      <c r="L6" s="3">
        <v>1.6273398240258223</v>
      </c>
      <c r="M6" s="3">
        <v>1.6</v>
      </c>
      <c r="N6" s="2" t="s">
        <v>82</v>
      </c>
      <c r="O6" s="2" t="s">
        <v>83</v>
      </c>
      <c r="P6" s="2" t="s">
        <v>84</v>
      </c>
      <c r="Q6" s="2" t="s">
        <v>62</v>
      </c>
      <c r="R6" s="2" t="s">
        <v>161</v>
      </c>
    </row>
    <row r="7" spans="1:18" ht="28.8" x14ac:dyDescent="0.3">
      <c r="A7" s="2">
        <v>6</v>
      </c>
      <c r="B7" s="2" t="s">
        <v>85</v>
      </c>
      <c r="C7" s="2" t="s">
        <v>87</v>
      </c>
      <c r="D7" s="7">
        <v>38.15889</v>
      </c>
      <c r="E7" s="7">
        <v>29.205829999999999</v>
      </c>
      <c r="F7" s="7">
        <v>453.5</v>
      </c>
      <c r="G7" s="7">
        <v>38.164000000000001</v>
      </c>
      <c r="H7" s="7">
        <v>29.198</v>
      </c>
      <c r="I7" s="7">
        <v>695.5</v>
      </c>
      <c r="J7" s="7">
        <v>242</v>
      </c>
      <c r="K7" s="7">
        <f>J7*(1-Input_Parametreleri!$B$7)</f>
        <v>234.73999999999998</v>
      </c>
      <c r="L7" s="3">
        <v>0.88966345126495694</v>
      </c>
      <c r="M7" s="3">
        <v>0.96599999999999997</v>
      </c>
      <c r="N7" s="2" t="s">
        <v>89</v>
      </c>
      <c r="O7" s="2" t="s">
        <v>90</v>
      </c>
      <c r="P7" s="2" t="s">
        <v>91</v>
      </c>
      <c r="Q7" s="2" t="s">
        <v>62</v>
      </c>
      <c r="R7" s="2" t="s">
        <v>161</v>
      </c>
    </row>
    <row r="8" spans="1:18" ht="28.8" x14ac:dyDescent="0.3">
      <c r="A8" s="2">
        <v>7</v>
      </c>
      <c r="B8" s="2" t="s">
        <v>92</v>
      </c>
      <c r="C8" s="2" t="s">
        <v>93</v>
      </c>
      <c r="D8" s="7">
        <v>39.966110999999998</v>
      </c>
      <c r="E8" s="7">
        <v>31.74</v>
      </c>
      <c r="F8" s="7">
        <v>557.5</v>
      </c>
      <c r="G8" s="7">
        <v>39.978000000000002</v>
      </c>
      <c r="H8" s="7">
        <v>31.713000000000001</v>
      </c>
      <c r="I8" s="7">
        <v>1070.5</v>
      </c>
      <c r="J8" s="7">
        <v>513</v>
      </c>
      <c r="K8" s="7">
        <f>J8*(1-Input_Parametreleri!$B$7)</f>
        <v>497.61</v>
      </c>
      <c r="L8" s="3">
        <v>2.6535656766490918</v>
      </c>
      <c r="M8" s="3">
        <v>2.762</v>
      </c>
      <c r="N8" s="2" t="s">
        <v>95</v>
      </c>
      <c r="O8" s="2" t="s">
        <v>96</v>
      </c>
      <c r="P8" s="2" t="s">
        <v>97</v>
      </c>
      <c r="Q8" s="2" t="s">
        <v>62</v>
      </c>
      <c r="R8" s="2" t="s">
        <v>161</v>
      </c>
    </row>
    <row r="9" spans="1:18" ht="28.8" x14ac:dyDescent="0.3">
      <c r="A9" s="2">
        <v>8</v>
      </c>
      <c r="B9" s="2" t="s">
        <v>98</v>
      </c>
      <c r="C9" s="2" t="s">
        <v>100</v>
      </c>
      <c r="D9" s="7">
        <v>37.306666999999997</v>
      </c>
      <c r="E9" s="7">
        <v>30.808889000000001</v>
      </c>
      <c r="F9" s="7">
        <v>187.5</v>
      </c>
      <c r="G9" s="7">
        <v>37.325000000000003</v>
      </c>
      <c r="H9" s="7">
        <v>30.78</v>
      </c>
      <c r="I9" s="7">
        <v>802.5</v>
      </c>
      <c r="J9" s="7">
        <v>615</v>
      </c>
      <c r="K9" s="7">
        <f>J9*(1-Input_Parametreleri!$B$7)</f>
        <v>596.54999999999995</v>
      </c>
      <c r="L9" s="3">
        <v>3.2684106633593624</v>
      </c>
      <c r="M9" s="3">
        <v>3.2</v>
      </c>
      <c r="N9" s="2" t="s">
        <v>102</v>
      </c>
      <c r="O9" s="2" t="s">
        <v>103</v>
      </c>
      <c r="P9" s="2" t="s">
        <v>104</v>
      </c>
      <c r="Q9" s="2" t="s">
        <v>105</v>
      </c>
      <c r="R9" s="2" t="s">
        <v>161</v>
      </c>
    </row>
    <row r="10" spans="1:18" ht="28.8" x14ac:dyDescent="0.3">
      <c r="A10" s="2">
        <v>9</v>
      </c>
      <c r="B10" s="2" t="s">
        <v>106</v>
      </c>
      <c r="C10" s="2" t="s">
        <v>108</v>
      </c>
      <c r="D10" s="7">
        <v>38.903889999999997</v>
      </c>
      <c r="E10" s="7">
        <v>35.27111</v>
      </c>
      <c r="F10" s="7">
        <v>1100</v>
      </c>
      <c r="G10" s="7">
        <v>38.914000000000001</v>
      </c>
      <c r="H10" s="7">
        <v>35.253</v>
      </c>
      <c r="I10" s="7">
        <v>1360</v>
      </c>
      <c r="J10" s="7">
        <v>260</v>
      </c>
      <c r="K10" s="7">
        <f>J10*(1-Input_Parametreleri!$B$7)</f>
        <v>252.2</v>
      </c>
      <c r="L10" s="3">
        <v>1.9285292678868202</v>
      </c>
      <c r="M10" s="3">
        <v>1.92</v>
      </c>
      <c r="N10" s="2" t="s">
        <v>110</v>
      </c>
      <c r="O10" s="2" t="s">
        <v>111</v>
      </c>
      <c r="P10" s="2" t="s">
        <v>112</v>
      </c>
      <c r="Q10" s="2" t="s">
        <v>62</v>
      </c>
      <c r="R10" s="2" t="s">
        <v>161</v>
      </c>
    </row>
    <row r="11" spans="1:18" ht="43.2" x14ac:dyDescent="0.3">
      <c r="A11" s="2">
        <v>10</v>
      </c>
      <c r="B11" s="2" t="s">
        <v>113</v>
      </c>
      <c r="C11" s="2" t="s">
        <v>115</v>
      </c>
      <c r="D11" s="7">
        <v>36.908610000000003</v>
      </c>
      <c r="E11" s="7">
        <v>31.531669999999998</v>
      </c>
      <c r="F11" s="7">
        <v>184</v>
      </c>
      <c r="G11" s="7">
        <v>36.915999999999997</v>
      </c>
      <c r="H11" s="7">
        <v>31.529</v>
      </c>
      <c r="I11" s="7">
        <v>556</v>
      </c>
      <c r="J11" s="7">
        <v>372</v>
      </c>
      <c r="K11" s="7">
        <f>J11*(1-Input_Parametreleri!$B$7)</f>
        <v>360.84</v>
      </c>
      <c r="L11" s="3">
        <v>0.85533182314802658</v>
      </c>
      <c r="M11" s="3">
        <v>0.91900000000000004</v>
      </c>
      <c r="N11" s="2" t="s">
        <v>117</v>
      </c>
      <c r="O11" s="2" t="s">
        <v>118</v>
      </c>
      <c r="P11" s="2" t="s">
        <v>119</v>
      </c>
      <c r="Q11" s="2" t="s">
        <v>120</v>
      </c>
      <c r="R11" s="2" t="s">
        <v>161</v>
      </c>
    </row>
    <row r="12" spans="1:18" ht="28.8" x14ac:dyDescent="0.3">
      <c r="A12" s="2">
        <v>11</v>
      </c>
      <c r="B12" s="2" t="s">
        <v>121</v>
      </c>
      <c r="C12" s="2" t="s">
        <v>123</v>
      </c>
      <c r="D12" s="7">
        <v>37.272778000000002</v>
      </c>
      <c r="E12" s="7">
        <v>36.270833000000003</v>
      </c>
      <c r="F12" s="7">
        <v>155</v>
      </c>
      <c r="G12" s="7">
        <v>37.280999999999999</v>
      </c>
      <c r="H12" s="7">
        <v>36.265000000000001</v>
      </c>
      <c r="I12" s="7">
        <v>309</v>
      </c>
      <c r="J12" s="7">
        <v>154</v>
      </c>
      <c r="K12" s="7">
        <f>J12*(1-Input_Parametreleri!$B$7)</f>
        <v>149.38</v>
      </c>
      <c r="L12" s="3">
        <v>1.0498610801634425</v>
      </c>
      <c r="M12" s="3">
        <v>1.1000000000000001</v>
      </c>
      <c r="N12" s="2" t="s">
        <v>125</v>
      </c>
      <c r="O12" s="2" t="s">
        <v>126</v>
      </c>
      <c r="P12" s="2" t="s">
        <v>127</v>
      </c>
      <c r="Q12" s="2" t="s">
        <v>62</v>
      </c>
      <c r="R12" s="2" t="s">
        <v>161</v>
      </c>
    </row>
    <row r="13" spans="1:18" ht="28.8" x14ac:dyDescent="0.3">
      <c r="A13" s="2">
        <v>12</v>
      </c>
      <c r="B13" s="2" t="s">
        <v>128</v>
      </c>
      <c r="C13" s="2" t="s">
        <v>130</v>
      </c>
      <c r="D13" s="7">
        <v>38.616667</v>
      </c>
      <c r="E13" s="7">
        <v>28.311667</v>
      </c>
      <c r="F13" s="7">
        <v>244.2</v>
      </c>
      <c r="G13" s="7">
        <v>38.624000000000002</v>
      </c>
      <c r="H13" s="7">
        <v>28.297999999999998</v>
      </c>
      <c r="I13" s="7">
        <v>457.2</v>
      </c>
      <c r="J13" s="7">
        <v>213</v>
      </c>
      <c r="K13" s="7">
        <f>J13*(1-Input_Parametreleri!$B$7)</f>
        <v>206.60999999999999</v>
      </c>
      <c r="L13" s="3">
        <v>1.4403641921169019</v>
      </c>
      <c r="M13" s="3">
        <v>1.462</v>
      </c>
      <c r="N13" s="2" t="s">
        <v>132</v>
      </c>
      <c r="O13" s="2" t="s">
        <v>133</v>
      </c>
      <c r="P13" s="2" t="s">
        <v>134</v>
      </c>
      <c r="Q13" s="2" t="s">
        <v>135</v>
      </c>
      <c r="R13" s="2" t="s">
        <v>161</v>
      </c>
    </row>
    <row r="14" spans="1:18" ht="28.8" x14ac:dyDescent="0.3">
      <c r="A14" s="2">
        <v>13</v>
      </c>
      <c r="B14" s="2" t="s">
        <v>136</v>
      </c>
      <c r="C14" s="2" t="s">
        <v>139</v>
      </c>
      <c r="D14" s="7">
        <v>36.229999999999997</v>
      </c>
      <c r="E14" s="7">
        <v>33.799999999999997</v>
      </c>
      <c r="F14" s="7">
        <v>0</v>
      </c>
      <c r="G14" s="7">
        <v>36.284999999999997</v>
      </c>
      <c r="H14" s="7">
        <v>33.844000000000001</v>
      </c>
      <c r="I14" s="7">
        <v>780</v>
      </c>
      <c r="J14" s="7">
        <v>780</v>
      </c>
      <c r="K14" s="7">
        <f>J14*(1-Input_Parametreleri!$B$7)</f>
        <v>756.6</v>
      </c>
      <c r="L14" s="3">
        <v>7.2778358526538076</v>
      </c>
      <c r="M14" s="3">
        <v>6.5</v>
      </c>
      <c r="N14" s="2" t="s">
        <v>140</v>
      </c>
      <c r="O14" s="2" t="s">
        <v>141</v>
      </c>
      <c r="P14" s="2" t="s">
        <v>142</v>
      </c>
      <c r="Q14" s="2" t="s">
        <v>143</v>
      </c>
      <c r="R14" s="2" t="s">
        <v>161</v>
      </c>
    </row>
    <row r="15" spans="1:18" ht="28.8" x14ac:dyDescent="0.3">
      <c r="A15" s="2">
        <v>14</v>
      </c>
      <c r="B15" s="2" t="s">
        <v>144</v>
      </c>
      <c r="C15" s="2" t="s">
        <v>145</v>
      </c>
      <c r="D15" s="7">
        <v>36.097000000000001</v>
      </c>
      <c r="E15" s="7">
        <v>32.979999999999997</v>
      </c>
      <c r="F15" s="7">
        <v>0</v>
      </c>
      <c r="G15" s="7">
        <v>36.164999999999999</v>
      </c>
      <c r="H15" s="7">
        <v>33.020000000000003</v>
      </c>
      <c r="I15" s="7">
        <v>900</v>
      </c>
      <c r="J15" s="7">
        <v>900</v>
      </c>
      <c r="K15" s="7">
        <f>J15*(1-Input_Parametreleri!$B$7)</f>
        <v>873</v>
      </c>
      <c r="L15" s="3">
        <v>8.3712479873966021</v>
      </c>
      <c r="M15" s="3">
        <v>8.5</v>
      </c>
      <c r="N15" s="2" t="s">
        <v>146</v>
      </c>
      <c r="O15" s="2" t="s">
        <v>147</v>
      </c>
      <c r="P15" s="2" t="s">
        <v>142</v>
      </c>
      <c r="Q15" s="2" t="s">
        <v>143</v>
      </c>
      <c r="R15" s="2" t="s">
        <v>161</v>
      </c>
    </row>
    <row r="16" spans="1:18" ht="28.8" x14ac:dyDescent="0.3">
      <c r="A16" s="2">
        <v>15</v>
      </c>
      <c r="B16" s="2" t="s">
        <v>148</v>
      </c>
      <c r="C16" s="2" t="s">
        <v>150</v>
      </c>
      <c r="D16" s="7">
        <v>38.628999999999998</v>
      </c>
      <c r="E16" s="7">
        <v>26.57</v>
      </c>
      <c r="F16" s="7">
        <v>0</v>
      </c>
      <c r="G16" s="7">
        <v>38.659999999999997</v>
      </c>
      <c r="H16" s="7">
        <v>26.61</v>
      </c>
      <c r="I16" s="7">
        <v>620</v>
      </c>
      <c r="J16" s="7">
        <v>620</v>
      </c>
      <c r="K16" s="7">
        <f>J16*(1-Input_Parametreleri!$B$7)</f>
        <v>601.4</v>
      </c>
      <c r="L16" s="3">
        <v>4.8938806847849454</v>
      </c>
      <c r="M16" s="3">
        <v>5</v>
      </c>
      <c r="N16" s="2" t="s">
        <v>151</v>
      </c>
      <c r="O16" s="2" t="s">
        <v>152</v>
      </c>
      <c r="P16" s="2" t="s">
        <v>142</v>
      </c>
      <c r="Q16" s="2" t="s">
        <v>143</v>
      </c>
      <c r="R16" s="2" t="s">
        <v>161</v>
      </c>
    </row>
  </sheetData>
  <hyperlinks>
    <hyperlink ref="N2" r:id="rId1" xr:uid="{7C4C0730-3536-478B-8B1E-421E8B249AAC}"/>
    <hyperlink ref="O2" r:id="rId2" xr:uid="{EA4A69DA-6165-44AB-BA4E-A43D252AE156}"/>
    <hyperlink ref="O3" r:id="rId3" xr:uid="{8ED4B5EB-5D23-4AB5-B682-261F80526699}"/>
  </hyperlink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defaultRowHeight="14.4" x14ac:dyDescent="0.3"/>
  <cols>
    <col min="1" max="1" width="28" customWidth="1"/>
    <col min="2" max="3" width="14" customWidth="1"/>
    <col min="4" max="4" width="60" customWidth="1"/>
  </cols>
  <sheetData>
    <row r="1" spans="1:4" x14ac:dyDescent="0.3">
      <c r="A1" s="1" t="s">
        <v>162</v>
      </c>
      <c r="B1" s="1" t="s">
        <v>163</v>
      </c>
      <c r="C1" s="1" t="s">
        <v>164</v>
      </c>
      <c r="D1" s="1" t="s">
        <v>165</v>
      </c>
    </row>
    <row r="2" spans="1:4" ht="28.8" x14ac:dyDescent="0.3">
      <c r="A2" s="2" t="s">
        <v>166</v>
      </c>
      <c r="B2" s="3">
        <v>1000</v>
      </c>
      <c r="C2" s="2" t="s">
        <v>167</v>
      </c>
      <c r="D2" s="2" t="s">
        <v>168</v>
      </c>
    </row>
    <row r="3" spans="1:4" x14ac:dyDescent="0.3">
      <c r="A3" s="2" t="s">
        <v>169</v>
      </c>
      <c r="B3" s="3">
        <v>9.81</v>
      </c>
      <c r="C3" s="2" t="s">
        <v>170</v>
      </c>
      <c r="D3" s="2" t="s">
        <v>171</v>
      </c>
    </row>
    <row r="4" spans="1:4" x14ac:dyDescent="0.3">
      <c r="A4" s="2" t="s">
        <v>172</v>
      </c>
      <c r="B4" s="3">
        <v>0.9</v>
      </c>
      <c r="C4" s="2" t="s">
        <v>173</v>
      </c>
      <c r="D4" s="2" t="s">
        <v>174</v>
      </c>
    </row>
    <row r="5" spans="1:4" x14ac:dyDescent="0.3">
      <c r="A5" s="2" t="s">
        <v>175</v>
      </c>
      <c r="B5" s="3">
        <v>0.86</v>
      </c>
      <c r="C5" s="2" t="s">
        <v>173</v>
      </c>
      <c r="D5" s="2" t="s">
        <v>176</v>
      </c>
    </row>
    <row r="6" spans="1:4" ht="28.8" x14ac:dyDescent="0.3">
      <c r="A6" s="2" t="s">
        <v>177</v>
      </c>
      <c r="B6" s="3">
        <v>0.78</v>
      </c>
      <c r="C6" s="2" t="s">
        <v>173</v>
      </c>
      <c r="D6" s="2" t="s">
        <v>178</v>
      </c>
    </row>
    <row r="7" spans="1:4" x14ac:dyDescent="0.3">
      <c r="A7" s="2" t="s">
        <v>179</v>
      </c>
      <c r="B7" s="3">
        <v>0.03</v>
      </c>
      <c r="C7" s="2" t="s">
        <v>173</v>
      </c>
      <c r="D7" s="2" t="s">
        <v>180</v>
      </c>
    </row>
    <row r="8" spans="1:4" x14ac:dyDescent="0.3">
      <c r="A8" s="2" t="s">
        <v>181</v>
      </c>
      <c r="B8" s="3">
        <v>300</v>
      </c>
      <c r="C8" s="2" t="s">
        <v>182</v>
      </c>
      <c r="D8" s="2" t="s">
        <v>183</v>
      </c>
    </row>
    <row r="9" spans="1:4" x14ac:dyDescent="0.3">
      <c r="A9" s="2" t="s">
        <v>184</v>
      </c>
      <c r="B9" s="3">
        <v>110</v>
      </c>
      <c r="C9" s="2" t="s">
        <v>185</v>
      </c>
      <c r="D9" s="2" t="s">
        <v>186</v>
      </c>
    </row>
    <row r="10" spans="1:4" x14ac:dyDescent="0.3">
      <c r="A10" s="2" t="s">
        <v>187</v>
      </c>
      <c r="B10" s="3">
        <v>45</v>
      </c>
      <c r="C10" s="2" t="s">
        <v>185</v>
      </c>
      <c r="D10" s="2" t="s">
        <v>188</v>
      </c>
    </row>
    <row r="11" spans="1:4" x14ac:dyDescent="0.3">
      <c r="A11" s="2" t="s">
        <v>189</v>
      </c>
      <c r="B11" s="3">
        <v>45000</v>
      </c>
      <c r="C11" s="2" t="s">
        <v>190</v>
      </c>
      <c r="D11" s="2" t="s">
        <v>191</v>
      </c>
    </row>
    <row r="12" spans="1:4" ht="28.8" x14ac:dyDescent="0.3">
      <c r="A12" s="2" t="s">
        <v>192</v>
      </c>
      <c r="B12" s="3">
        <v>30000</v>
      </c>
      <c r="C12" s="2" t="s">
        <v>190</v>
      </c>
      <c r="D12" s="2" t="s">
        <v>193</v>
      </c>
    </row>
    <row r="13" spans="1:4" x14ac:dyDescent="0.3">
      <c r="A13" s="2" t="s">
        <v>194</v>
      </c>
      <c r="B13" s="3">
        <v>1700</v>
      </c>
      <c r="C13" s="2" t="s">
        <v>195</v>
      </c>
      <c r="D13" s="2" t="s">
        <v>196</v>
      </c>
    </row>
    <row r="14" spans="1:4" x14ac:dyDescent="0.3">
      <c r="A14" s="2" t="s">
        <v>197</v>
      </c>
      <c r="B14" s="3">
        <v>1.4999999999999999E-2</v>
      </c>
      <c r="C14" s="2" t="s">
        <v>198</v>
      </c>
      <c r="D14" s="2" t="s">
        <v>199</v>
      </c>
    </row>
    <row r="15" spans="1:4" x14ac:dyDescent="0.3">
      <c r="A15" s="2" t="s">
        <v>200</v>
      </c>
      <c r="B15" s="3">
        <v>1.2</v>
      </c>
      <c r="C15" s="2" t="s">
        <v>201</v>
      </c>
      <c r="D15" s="2" t="s">
        <v>202</v>
      </c>
    </row>
    <row r="16" spans="1:4" x14ac:dyDescent="0.3">
      <c r="A16" s="2" t="s">
        <v>203</v>
      </c>
      <c r="B16" s="3">
        <v>0.12</v>
      </c>
      <c r="C16" s="2" t="s">
        <v>204</v>
      </c>
      <c r="D16" s="2" t="s">
        <v>205</v>
      </c>
    </row>
    <row r="17" spans="1:4" x14ac:dyDescent="0.3">
      <c r="A17" s="2" t="s">
        <v>206</v>
      </c>
      <c r="B17" s="3">
        <v>0.1</v>
      </c>
      <c r="C17" s="2" t="s">
        <v>204</v>
      </c>
      <c r="D17" s="2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sqref="A1:D1"/>
    </sheetView>
  </sheetViews>
  <sheetFormatPr defaultRowHeight="14.4" x14ac:dyDescent="0.3"/>
  <cols>
    <col min="1" max="1" width="28" customWidth="1"/>
    <col min="2" max="2" width="100" customWidth="1"/>
    <col min="3" max="4" width="14" customWidth="1"/>
  </cols>
  <sheetData>
    <row r="1" spans="1:4" ht="15" x14ac:dyDescent="0.35">
      <c r="A1" s="12" t="s">
        <v>208</v>
      </c>
      <c r="B1" s="13"/>
      <c r="C1" s="13"/>
      <c r="D1" s="13"/>
    </row>
    <row r="2" spans="1:4" x14ac:dyDescent="0.3">
      <c r="A2" s="9" t="s">
        <v>209</v>
      </c>
      <c r="B2" t="s">
        <v>210</v>
      </c>
    </row>
    <row r="3" spans="1:4" x14ac:dyDescent="0.3">
      <c r="A3" s="9" t="s">
        <v>211</v>
      </c>
      <c r="B3" t="s">
        <v>212</v>
      </c>
    </row>
    <row r="4" spans="1:4" x14ac:dyDescent="0.3">
      <c r="A4" s="9" t="s">
        <v>213</v>
      </c>
      <c r="B4" t="s">
        <v>214</v>
      </c>
    </row>
    <row r="5" spans="1:4" x14ac:dyDescent="0.3">
      <c r="A5" s="9" t="s">
        <v>215</v>
      </c>
      <c r="B5" t="s">
        <v>216</v>
      </c>
    </row>
    <row r="6" spans="1:4" x14ac:dyDescent="0.3">
      <c r="A6" s="9" t="s">
        <v>217</v>
      </c>
      <c r="B6" t="s">
        <v>218</v>
      </c>
    </row>
    <row r="7" spans="1:4" x14ac:dyDescent="0.3">
      <c r="A7" s="9" t="s">
        <v>219</v>
      </c>
      <c r="B7" t="s">
        <v>220</v>
      </c>
    </row>
    <row r="8" spans="1:4" x14ac:dyDescent="0.3">
      <c r="A8" s="9" t="s">
        <v>221</v>
      </c>
      <c r="B8" t="s">
        <v>222</v>
      </c>
    </row>
    <row r="9" spans="1:4" x14ac:dyDescent="0.3">
      <c r="A9" s="9" t="s">
        <v>223</v>
      </c>
      <c r="B9" t="s">
        <v>224</v>
      </c>
    </row>
    <row r="10" spans="1:4" x14ac:dyDescent="0.3">
      <c r="A10" s="9" t="s">
        <v>225</v>
      </c>
      <c r="B10" t="s">
        <v>226</v>
      </c>
    </row>
    <row r="11" spans="1:4" x14ac:dyDescent="0.3">
      <c r="A11" s="9" t="s">
        <v>227</v>
      </c>
      <c r="B11" t="s">
        <v>228</v>
      </c>
    </row>
    <row r="12" spans="1:4" x14ac:dyDescent="0.3">
      <c r="A12" s="9" t="s">
        <v>229</v>
      </c>
      <c r="B12" t="s">
        <v>230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>
      <selection activeCell="G20" sqref="G20"/>
    </sheetView>
  </sheetViews>
  <sheetFormatPr defaultRowHeight="14.4" x14ac:dyDescent="0.3"/>
  <cols>
    <col min="2" max="2" width="32" customWidth="1"/>
    <col min="7" max="7" width="15.44140625" customWidth="1"/>
    <col min="9" max="9" width="60" customWidth="1"/>
  </cols>
  <sheetData>
    <row r="1" spans="1:9" ht="43.2" x14ac:dyDescent="0.3">
      <c r="A1" s="1" t="s">
        <v>0</v>
      </c>
      <c r="B1" s="1" t="s">
        <v>1</v>
      </c>
      <c r="C1" s="8" t="s">
        <v>231</v>
      </c>
      <c r="D1" s="8" t="s">
        <v>232</v>
      </c>
      <c r="E1" s="8" t="s">
        <v>233</v>
      </c>
      <c r="F1" s="8" t="s">
        <v>234</v>
      </c>
      <c r="G1" s="8" t="s">
        <v>235</v>
      </c>
      <c r="H1" s="1" t="s">
        <v>236</v>
      </c>
      <c r="I1" s="1" t="s">
        <v>237</v>
      </c>
    </row>
    <row r="2" spans="1:9" x14ac:dyDescent="0.3">
      <c r="A2">
        <v>1</v>
      </c>
      <c r="B2" t="s">
        <v>44</v>
      </c>
      <c r="C2">
        <f>MIN(100,MAX(0,(Aday_Verileri!P2/700)*55+(Aday_Verileri!G2/10000)*25+(1/(1+Aday_Verileri!R2/800))*20))</f>
        <v>66.467540390432177</v>
      </c>
      <c r="D2">
        <f>MIN(100,MAX(0,100-Aday_Verileri!AK2*5))</f>
        <v>46.657011827178366</v>
      </c>
      <c r="E2">
        <f>IF(Aday_Verileri!AL2="Yüksek/Orta",80,55)</f>
        <v>55</v>
      </c>
      <c r="F2">
        <f>MAX(0,100-IF(ISNUMBER(SEARCH("deniz",Aday_Verileri!C2)),20,0)-IF(ISNUMBER(SEARCH("jeoloji",Aday_Verileri!AM2)),15,0)-IF(ISNUMBER(SEARCH("izin",Aday_Verileri!AM2)),15,0)-IF(ISNUMBER(SEARCH("su",Aday_Verileri!AM2)),10,0))</f>
        <v>70</v>
      </c>
      <c r="G2">
        <f t="shared" ref="G2:G16" si="0">C2*0.4+D2*0.35+E2*0.1+F2*0.15</f>
        <v>58.916970295685303</v>
      </c>
      <c r="H2" t="str">
        <f t="shared" ref="H2:H16" si="1">IF(G2&gt;=80,"A - Öncelikli",IF(G2&gt;=65,"B - İncelenmeli",IF(G2&gt;=50,"C - Koşullu","D - Zayıf")))</f>
        <v>C - Koşullu</v>
      </c>
      <c r="I2" t="s">
        <v>238</v>
      </c>
    </row>
    <row r="3" spans="1:9" x14ac:dyDescent="0.3">
      <c r="A3">
        <v>2</v>
      </c>
      <c r="B3" t="s">
        <v>54</v>
      </c>
      <c r="C3">
        <f>MIN(100,MAX(0,(Aday_Verileri!P3/700)*55+(Aday_Verileri!G3/10000)*25+(1/(1+Aday_Verileri!R3/800))*20))</f>
        <v>65.628489171089996</v>
      </c>
      <c r="D3">
        <f>MIN(100,MAX(0,100-Aday_Verileri!AK3*5))</f>
        <v>46.657011827178366</v>
      </c>
      <c r="E3">
        <f>IF(Aday_Verileri!AL3="Yüksek/Orta",80,55)</f>
        <v>80</v>
      </c>
      <c r="F3">
        <f>MAX(0,100-IF(ISNUMBER(SEARCH("deniz",Aday_Verileri!C3)),20,0)-IF(ISNUMBER(SEARCH("jeoloji",Aday_Verileri!AM3)),15,0)-IF(ISNUMBER(SEARCH("izin",Aday_Verileri!AM3)),15,0)-IF(ISNUMBER(SEARCH("su",Aday_Verileri!AM3)),10,0))</f>
        <v>85</v>
      </c>
      <c r="G3">
        <f t="shared" si="0"/>
        <v>63.331349807948428</v>
      </c>
      <c r="H3" t="str">
        <f t="shared" si="1"/>
        <v>C - Koşullu</v>
      </c>
      <c r="I3" t="s">
        <v>238</v>
      </c>
    </row>
    <row r="4" spans="1:9" x14ac:dyDescent="0.3">
      <c r="A4">
        <v>3</v>
      </c>
      <c r="B4" t="s">
        <v>63</v>
      </c>
      <c r="C4">
        <f>MIN(100,MAX(0,(Aday_Verileri!P4/700)*55+(Aday_Verileri!G4/10000)*25+(1/(1+Aday_Verileri!R4/800))*20))</f>
        <v>92.053043255956936</v>
      </c>
      <c r="D4">
        <f>MIN(100,MAX(0,100-Aday_Verileri!AK4*5))</f>
        <v>46.657011827178387</v>
      </c>
      <c r="E4">
        <f>IF(Aday_Verileri!AL4="Yüksek/Orta",80,55)</f>
        <v>80</v>
      </c>
      <c r="F4">
        <f>MAX(0,100-IF(ISNUMBER(SEARCH("deniz",Aday_Verileri!C4)),20,0)-IF(ISNUMBER(SEARCH("jeoloji",Aday_Verileri!AM4)),15,0)-IF(ISNUMBER(SEARCH("izin",Aday_Verileri!AM4)),15,0)-IF(ISNUMBER(SEARCH("su",Aday_Verileri!AM4)),10,0))</f>
        <v>100</v>
      </c>
      <c r="G4">
        <f t="shared" si="0"/>
        <v>76.151171441895215</v>
      </c>
      <c r="H4" t="str">
        <f t="shared" si="1"/>
        <v>B - İncelenmeli</v>
      </c>
      <c r="I4" t="s">
        <v>238</v>
      </c>
    </row>
    <row r="5" spans="1:9" x14ac:dyDescent="0.3">
      <c r="A5">
        <v>4</v>
      </c>
      <c r="B5" t="s">
        <v>71</v>
      </c>
      <c r="C5">
        <f>MIN(100,MAX(0,(Aday_Verileri!P5/700)*55+(Aday_Verileri!G5/10000)*25+(1/(1+Aday_Verileri!R5/800))*20))</f>
        <v>40.260547581829648</v>
      </c>
      <c r="D5">
        <f>MIN(100,MAX(0,100-Aday_Verileri!AK5*5))</f>
        <v>40.368435254004453</v>
      </c>
      <c r="E5">
        <f>IF(Aday_Verileri!AL5="Yüksek/Orta",80,55)</f>
        <v>80</v>
      </c>
      <c r="F5">
        <f>MAX(0,100-IF(ISNUMBER(SEARCH("deniz",Aday_Verileri!C5)),20,0)-IF(ISNUMBER(SEARCH("jeoloji",Aday_Verileri!AM5)),15,0)-IF(ISNUMBER(SEARCH("izin",Aday_Verileri!AM5)),15,0)-IF(ISNUMBER(SEARCH("su",Aday_Verileri!AM5)),10,0))</f>
        <v>100</v>
      </c>
      <c r="G5">
        <f t="shared" si="0"/>
        <v>53.233171371633418</v>
      </c>
      <c r="H5" t="str">
        <f t="shared" si="1"/>
        <v>C - Koşullu</v>
      </c>
      <c r="I5" t="s">
        <v>238</v>
      </c>
    </row>
    <row r="6" spans="1:9" x14ac:dyDescent="0.3">
      <c r="A6">
        <v>5</v>
      </c>
      <c r="B6" t="s">
        <v>79</v>
      </c>
      <c r="C6">
        <f>MIN(100,MAX(0,(Aday_Verileri!P6/700)*55+(Aday_Verileri!G6/10000)*25+(1/(1+Aday_Verileri!R6/800))*20))</f>
        <v>76.864873115691822</v>
      </c>
      <c r="D6">
        <f>MIN(100,MAX(0,100-Aday_Verileri!AK6*5))</f>
        <v>46.657011827178366</v>
      </c>
      <c r="E6">
        <f>IF(Aday_Verileri!AL6="Yüksek/Orta",80,55)</f>
        <v>80</v>
      </c>
      <c r="F6">
        <f>MAX(0,100-IF(ISNUMBER(SEARCH("deniz",Aday_Verileri!C6)),20,0)-IF(ISNUMBER(SEARCH("jeoloji",Aday_Verileri!AM6)),15,0)-IF(ISNUMBER(SEARCH("izin",Aday_Verileri!AM6)),15,0)-IF(ISNUMBER(SEARCH("su",Aday_Verileri!AM6)),10,0))</f>
        <v>100</v>
      </c>
      <c r="G6">
        <f t="shared" si="0"/>
        <v>70.075903385789161</v>
      </c>
      <c r="H6" t="str">
        <f t="shared" si="1"/>
        <v>B - İncelenmeli</v>
      </c>
      <c r="I6" t="s">
        <v>238</v>
      </c>
    </row>
    <row r="7" spans="1:9" x14ac:dyDescent="0.3">
      <c r="A7">
        <v>6</v>
      </c>
      <c r="B7" t="s">
        <v>85</v>
      </c>
      <c r="C7">
        <f>MIN(100,MAX(0,(Aday_Verileri!P7/700)*55+(Aday_Verileri!G7/10000)*25+(1/(1+Aday_Verileri!R7/800))*20))</f>
        <v>48.419446736544572</v>
      </c>
      <c r="D7">
        <f>MIN(100,MAX(0,100-Aday_Verileri!AK7*5))</f>
        <v>46.657011827178366</v>
      </c>
      <c r="E7">
        <f>IF(Aday_Verileri!AL7="Yüksek/Orta",80,55)</f>
        <v>80</v>
      </c>
      <c r="F7">
        <f>MAX(0,100-IF(ISNUMBER(SEARCH("deniz",Aday_Verileri!C7)),20,0)-IF(ISNUMBER(SEARCH("jeoloji",Aday_Verileri!AM7)),15,0)-IF(ISNUMBER(SEARCH("izin",Aday_Verileri!AM7)),15,0)-IF(ISNUMBER(SEARCH("su",Aday_Verileri!AM7)),10,0))</f>
        <v>90</v>
      </c>
      <c r="G7">
        <f t="shared" si="0"/>
        <v>57.197732834130257</v>
      </c>
      <c r="H7" t="str">
        <f t="shared" si="1"/>
        <v>C - Koşullu</v>
      </c>
      <c r="I7" t="s">
        <v>238</v>
      </c>
    </row>
    <row r="8" spans="1:9" x14ac:dyDescent="0.3">
      <c r="A8">
        <v>7</v>
      </c>
      <c r="B8" t="s">
        <v>92</v>
      </c>
      <c r="C8">
        <f>MIN(100,MAX(0,(Aday_Verileri!P8/700)*55+(Aday_Verileri!G8/10000)*25+(1/(1+Aday_Verileri!R8/800))*20))</f>
        <v>65.35709418935599</v>
      </c>
      <c r="D8">
        <f>MIN(100,MAX(0,100-Aday_Verileri!AK8*5))</f>
        <v>46.657011827178366</v>
      </c>
      <c r="E8">
        <f>IF(Aday_Verileri!AL8="Yüksek/Orta",80,55)</f>
        <v>80</v>
      </c>
      <c r="F8">
        <f>MAX(0,100-IF(ISNUMBER(SEARCH("deniz",Aday_Verileri!C8)),20,0)-IF(ISNUMBER(SEARCH("jeoloji",Aday_Verileri!AM8)),15,0)-IF(ISNUMBER(SEARCH("izin",Aday_Verileri!AM8)),15,0)-IF(ISNUMBER(SEARCH("su",Aday_Verileri!AM8)),10,0))</f>
        <v>100</v>
      </c>
      <c r="G8">
        <f t="shared" si="0"/>
        <v>65.472791815254823</v>
      </c>
      <c r="H8" t="str">
        <f t="shared" si="1"/>
        <v>B - İncelenmeli</v>
      </c>
      <c r="I8" t="s">
        <v>238</v>
      </c>
    </row>
    <row r="9" spans="1:9" x14ac:dyDescent="0.3">
      <c r="A9">
        <v>8</v>
      </c>
      <c r="B9" t="s">
        <v>98</v>
      </c>
      <c r="C9">
        <f>MIN(100,MAX(0,(Aday_Verileri!P9/700)*55+(Aday_Verileri!G9/10000)*25+(1/(1+Aday_Verileri!R9/800))*20))</f>
        <v>73.500243385939342</v>
      </c>
      <c r="D9">
        <f>MIN(100,MAX(0,100-Aday_Verileri!AK9*5))</f>
        <v>46.657011827178366</v>
      </c>
      <c r="E9">
        <f>IF(Aday_Verileri!AL9="Yüksek/Orta",80,55)</f>
        <v>55</v>
      </c>
      <c r="F9">
        <f>MAX(0,100-IF(ISNUMBER(SEARCH("deniz",Aday_Verileri!C9)),20,0)-IF(ISNUMBER(SEARCH("jeoloji",Aday_Verileri!AM9)),15,0)-IF(ISNUMBER(SEARCH("izin",Aday_Verileri!AM9)),15,0)-IF(ISNUMBER(SEARCH("su",Aday_Verileri!AM9)),10,0))</f>
        <v>90</v>
      </c>
      <c r="G9">
        <f t="shared" si="0"/>
        <v>64.730051493888169</v>
      </c>
      <c r="H9" t="str">
        <f t="shared" si="1"/>
        <v>C - Koşullu</v>
      </c>
      <c r="I9" t="s">
        <v>238</v>
      </c>
    </row>
    <row r="10" spans="1:9" x14ac:dyDescent="0.3">
      <c r="A10">
        <v>9</v>
      </c>
      <c r="B10" t="s">
        <v>106</v>
      </c>
      <c r="C10">
        <f>MIN(100,MAX(0,(Aday_Verileri!P10/700)*55+(Aday_Verileri!G10/10000)*25+(1/(1+Aday_Verileri!R10/800))*20))</f>
        <v>44.182323731016197</v>
      </c>
      <c r="D10">
        <f>MIN(100,MAX(0,100-Aday_Verileri!AK10*5))</f>
        <v>46.657011827178366</v>
      </c>
      <c r="E10">
        <f>IF(Aday_Verileri!AL10="Yüksek/Orta",80,55)</f>
        <v>80</v>
      </c>
      <c r="F10">
        <f>MAX(0,100-IF(ISNUMBER(SEARCH("deniz",Aday_Verileri!C10)),20,0)-IF(ISNUMBER(SEARCH("jeoloji",Aday_Verileri!AM10)),15,0)-IF(ISNUMBER(SEARCH("izin",Aday_Verileri!AM10)),15,0)-IF(ISNUMBER(SEARCH("su",Aday_Verileri!AM10)),10,0))</f>
        <v>85</v>
      </c>
      <c r="G10">
        <f t="shared" si="0"/>
        <v>54.752883631918905</v>
      </c>
      <c r="H10" t="str">
        <f t="shared" si="1"/>
        <v>C - Koşullu</v>
      </c>
      <c r="I10" t="s">
        <v>238</v>
      </c>
    </row>
    <row r="11" spans="1:9" x14ac:dyDescent="0.3">
      <c r="A11">
        <v>10</v>
      </c>
      <c r="B11" t="s">
        <v>113</v>
      </c>
      <c r="C11">
        <f>MIN(100,MAX(0,(Aday_Verileri!P11/700)*55+(Aday_Verileri!G11/10000)*25+(1/(1+Aday_Verileri!R11/800))*20))</f>
        <v>53.821611647576539</v>
      </c>
      <c r="D11">
        <f>MIN(100,MAX(0,100-Aday_Verileri!AK11*5))</f>
        <v>46.657011827178366</v>
      </c>
      <c r="E11">
        <f>IF(Aday_Verileri!AL11="Yüksek/Orta",80,55)</f>
        <v>80</v>
      </c>
      <c r="F11">
        <f>MAX(0,100-IF(ISNUMBER(SEARCH("deniz",Aday_Verileri!C11)),20,0)-IF(ISNUMBER(SEARCH("jeoloji",Aday_Verileri!AM11)),15,0)-IF(ISNUMBER(SEARCH("izin",Aday_Verileri!AM11)),15,0)-IF(ISNUMBER(SEARCH("su",Aday_Verileri!AM11)),10,0))</f>
        <v>90</v>
      </c>
      <c r="G11">
        <f t="shared" si="0"/>
        <v>59.358598798543042</v>
      </c>
      <c r="H11" t="str">
        <f t="shared" si="1"/>
        <v>C - Koşullu</v>
      </c>
      <c r="I11" t="s">
        <v>238</v>
      </c>
    </row>
    <row r="12" spans="1:9" x14ac:dyDescent="0.3">
      <c r="A12">
        <v>11</v>
      </c>
      <c r="B12" t="s">
        <v>121</v>
      </c>
      <c r="C12">
        <f>MIN(100,MAX(0,(Aday_Verileri!P12/700)*55+(Aday_Verileri!G12/10000)*25+(1/(1+Aday_Verileri!R12/800))*20))</f>
        <v>34.056548741076604</v>
      </c>
      <c r="D12">
        <f>MIN(100,MAX(0,100-Aday_Verileri!AK12*5))</f>
        <v>40.368435254004453</v>
      </c>
      <c r="E12">
        <f>IF(Aday_Verileri!AL12="Yüksek/Orta",80,55)</f>
        <v>80</v>
      </c>
      <c r="F12">
        <f>MAX(0,100-IF(ISNUMBER(SEARCH("deniz",Aday_Verileri!C12)),20,0)-IF(ISNUMBER(SEARCH("jeoloji",Aday_Verileri!AM12)),15,0)-IF(ISNUMBER(SEARCH("izin",Aday_Verileri!AM12)),15,0)-IF(ISNUMBER(SEARCH("su",Aday_Verileri!AM12)),10,0))</f>
        <v>90</v>
      </c>
      <c r="G12">
        <f t="shared" si="0"/>
        <v>49.2515718353322</v>
      </c>
      <c r="H12" t="str">
        <f t="shared" si="1"/>
        <v>D - Zayıf</v>
      </c>
      <c r="I12" t="s">
        <v>238</v>
      </c>
    </row>
    <row r="13" spans="1:9" x14ac:dyDescent="0.3">
      <c r="A13">
        <v>12</v>
      </c>
      <c r="B13" t="s">
        <v>128</v>
      </c>
      <c r="C13">
        <f>MIN(100,MAX(0,(Aday_Verileri!P13/700)*55+(Aday_Verileri!G13/10000)*25+(1/(1+Aday_Verileri!R13/800))*20))</f>
        <v>38.073249317235806</v>
      </c>
      <c r="D13">
        <f>MIN(100,MAX(0,100-Aday_Verileri!AK13*5))</f>
        <v>46.657011827178366</v>
      </c>
      <c r="E13">
        <f>IF(Aday_Verileri!AL13="Yüksek/Orta",80,55)</f>
        <v>55</v>
      </c>
      <c r="F13">
        <f>MAX(0,100-IF(ISNUMBER(SEARCH("deniz",Aday_Verileri!C13)),20,0)-IF(ISNUMBER(SEARCH("jeoloji",Aday_Verileri!AM13)),15,0)-IF(ISNUMBER(SEARCH("izin",Aday_Verileri!AM13)),15,0)-IF(ISNUMBER(SEARCH("su",Aday_Verileri!AM13)),10,0))</f>
        <v>90</v>
      </c>
      <c r="G13">
        <f t="shared" si="0"/>
        <v>50.559253866406749</v>
      </c>
      <c r="H13" t="str">
        <f t="shared" si="1"/>
        <v>C - Koşullu</v>
      </c>
      <c r="I13" t="s">
        <v>238</v>
      </c>
    </row>
    <row r="14" spans="1:9" x14ac:dyDescent="0.3">
      <c r="A14">
        <v>13</v>
      </c>
      <c r="B14" t="s">
        <v>136</v>
      </c>
      <c r="C14">
        <f>MIN(100,MAX(0,(Aday_Verileri!P14/700)*55+(Aday_Verileri!G14/10000)*25+(1/(1+Aday_Verileri!R14/800))*20))</f>
        <v>59.289871895629915</v>
      </c>
      <c r="D14">
        <f>MIN(100,MAX(0,100-Aday_Verileri!AK14*5))</f>
        <v>47.717995075681515</v>
      </c>
      <c r="E14">
        <f>IF(Aday_Verileri!AL14="Yüksek/Orta",80,55)</f>
        <v>55</v>
      </c>
      <c r="F14">
        <f>MAX(0,100-IF(ISNUMBER(SEARCH("deniz",Aday_Verileri!C14)),20,0)-IF(ISNUMBER(SEARCH("jeoloji",Aday_Verileri!AM14)),15,0)-IF(ISNUMBER(SEARCH("izin",Aday_Verileri!AM14)),15,0)-IF(ISNUMBER(SEARCH("su",Aday_Verileri!AM14)),10,0))</f>
        <v>55</v>
      </c>
      <c r="G14">
        <f t="shared" si="0"/>
        <v>54.167247034740498</v>
      </c>
      <c r="H14" t="str">
        <f t="shared" si="1"/>
        <v>C - Koşullu</v>
      </c>
      <c r="I14" t="s">
        <v>238</v>
      </c>
    </row>
    <row r="15" spans="1:9" x14ac:dyDescent="0.3">
      <c r="A15">
        <v>14</v>
      </c>
      <c r="B15" t="s">
        <v>144</v>
      </c>
      <c r="C15">
        <f>MIN(100,MAX(0,(Aday_Verileri!P15/700)*55+(Aday_Verileri!G15/10000)*25+(1/(1+Aday_Verileri!R15/800))*20))</f>
        <v>67.003600316314476</v>
      </c>
      <c r="D15">
        <f>MIN(100,MAX(0,100-Aday_Verileri!AK15*5))</f>
        <v>47.646537403781053</v>
      </c>
      <c r="E15">
        <f>IF(Aday_Verileri!AL15="Yüksek/Orta",80,55)</f>
        <v>55</v>
      </c>
      <c r="F15">
        <f>MAX(0,100-IF(ISNUMBER(SEARCH("deniz",Aday_Verileri!C15)),20,0)-IF(ISNUMBER(SEARCH("jeoloji",Aday_Verileri!AM15)),15,0)-IF(ISNUMBER(SEARCH("izin",Aday_Verileri!AM15)),15,0)-IF(ISNUMBER(SEARCH("su",Aday_Verileri!AM15)),10,0))</f>
        <v>65</v>
      </c>
      <c r="G15">
        <f t="shared" si="0"/>
        <v>58.727728217849162</v>
      </c>
      <c r="H15" t="str">
        <f t="shared" si="1"/>
        <v>C - Koşullu</v>
      </c>
      <c r="I15" t="s">
        <v>238</v>
      </c>
    </row>
    <row r="16" spans="1:9" x14ac:dyDescent="0.3">
      <c r="A16">
        <v>15</v>
      </c>
      <c r="B16" t="s">
        <v>148</v>
      </c>
      <c r="C16">
        <f>MIN(100,MAX(0,(Aday_Verileri!P16/700)*55+(Aday_Verileri!G16/10000)*25+(1/(1+Aday_Verileri!R16/800))*20))</f>
        <v>90.023683093801111</v>
      </c>
      <c r="D16">
        <f>MIN(100,MAX(0,100-Aday_Verileri!AK16*5))</f>
        <v>31.214514463807873</v>
      </c>
      <c r="E16">
        <f>IF(Aday_Verileri!AL16="Yüksek/Orta",80,55)</f>
        <v>55</v>
      </c>
      <c r="F16">
        <f>MAX(0,100-IF(ISNUMBER(SEARCH("deniz",Aday_Verileri!C16)),20,0)-IF(ISNUMBER(SEARCH("jeoloji",Aday_Verileri!AM16)),15,0)-IF(ISNUMBER(SEARCH("izin",Aday_Verileri!AM16)),15,0)-IF(ISNUMBER(SEARCH("su",Aday_Verileri!AM16)),10,0))</f>
        <v>55</v>
      </c>
      <c r="G16">
        <f t="shared" si="0"/>
        <v>60.684553299853199</v>
      </c>
      <c r="H16" t="str">
        <f t="shared" si="1"/>
        <v>C - Koşullu</v>
      </c>
      <c r="I16" t="s">
        <v>238</v>
      </c>
    </row>
  </sheetData>
  <conditionalFormatting sqref="G2:G1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selection activeCell="A25" sqref="A25"/>
    </sheetView>
  </sheetViews>
  <sheetFormatPr defaultRowHeight="14.4" x14ac:dyDescent="0.3"/>
  <cols>
    <col min="1" max="1" width="34" customWidth="1"/>
    <col min="2" max="2" width="110" customWidth="1"/>
  </cols>
  <sheetData>
    <row r="1" spans="1:2" x14ac:dyDescent="0.3">
      <c r="A1" s="1" t="s">
        <v>239</v>
      </c>
      <c r="B1" s="1" t="s">
        <v>240</v>
      </c>
    </row>
    <row r="2" spans="1:2" x14ac:dyDescent="0.3">
      <c r="A2" t="s">
        <v>241</v>
      </c>
      <c r="B2" t="s">
        <v>242</v>
      </c>
    </row>
    <row r="3" spans="1:2" x14ac:dyDescent="0.3">
      <c r="A3" t="s">
        <v>243</v>
      </c>
      <c r="B3" t="s">
        <v>244</v>
      </c>
    </row>
    <row r="4" spans="1:2" x14ac:dyDescent="0.3">
      <c r="A4" t="s">
        <v>245</v>
      </c>
      <c r="B4" t="s">
        <v>246</v>
      </c>
    </row>
    <row r="5" spans="1:2" x14ac:dyDescent="0.3">
      <c r="A5" t="s">
        <v>247</v>
      </c>
      <c r="B5" t="s">
        <v>248</v>
      </c>
    </row>
    <row r="6" spans="1:2" x14ac:dyDescent="0.3">
      <c r="A6" t="s">
        <v>249</v>
      </c>
      <c r="B6" t="s">
        <v>250</v>
      </c>
    </row>
    <row r="7" spans="1:2" x14ac:dyDescent="0.3">
      <c r="A7" t="s">
        <v>251</v>
      </c>
      <c r="B7" t="s">
        <v>252</v>
      </c>
    </row>
    <row r="8" spans="1:2" x14ac:dyDescent="0.3">
      <c r="A8" t="s">
        <v>253</v>
      </c>
      <c r="B8" t="s">
        <v>84</v>
      </c>
    </row>
    <row r="9" spans="1:2" x14ac:dyDescent="0.3">
      <c r="A9" t="s">
        <v>254</v>
      </c>
      <c r="B9" t="s">
        <v>255</v>
      </c>
    </row>
    <row r="10" spans="1:2" x14ac:dyDescent="0.3">
      <c r="A10" t="s">
        <v>256</v>
      </c>
      <c r="B10" t="s">
        <v>257</v>
      </c>
    </row>
    <row r="11" spans="1:2" x14ac:dyDescent="0.3">
      <c r="A11" t="s">
        <v>258</v>
      </c>
      <c r="B11" t="s">
        <v>259</v>
      </c>
    </row>
    <row r="12" spans="1:2" x14ac:dyDescent="0.3">
      <c r="A12" t="s">
        <v>260</v>
      </c>
      <c r="B12" t="s">
        <v>261</v>
      </c>
    </row>
    <row r="13" spans="1:2" x14ac:dyDescent="0.3">
      <c r="A13" t="s">
        <v>262</v>
      </c>
      <c r="B13" t="s">
        <v>263</v>
      </c>
    </row>
    <row r="14" spans="1:2" x14ac:dyDescent="0.3">
      <c r="A14" t="s">
        <v>264</v>
      </c>
      <c r="B14" t="s">
        <v>265</v>
      </c>
    </row>
    <row r="15" spans="1:2" x14ac:dyDescent="0.3">
      <c r="A15" t="s">
        <v>266</v>
      </c>
      <c r="B15" t="s">
        <v>267</v>
      </c>
    </row>
    <row r="16" spans="1:2" x14ac:dyDescent="0.3">
      <c r="A16" t="s">
        <v>268</v>
      </c>
      <c r="B16" t="s">
        <v>269</v>
      </c>
    </row>
    <row r="17" spans="1:2" x14ac:dyDescent="0.3">
      <c r="A17" t="s">
        <v>270</v>
      </c>
      <c r="B17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Aday_Verileri</vt:lpstr>
      <vt:lpstr>Koordinatlar_Kotlar</vt:lpstr>
      <vt:lpstr>Input_Parametreleri</vt:lpstr>
      <vt:lpstr>Hesaplama_Yontemi</vt:lpstr>
      <vt:lpstr>Skor_Hesap</vt:lpstr>
      <vt:lpstr>Kaynaklar_Notlar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Murathan YENİCELİ</dc:creator>
  <cp:lastModifiedBy>murathany yenici</cp:lastModifiedBy>
  <dcterms:created xsi:type="dcterms:W3CDTF">2026-07-10T16:32:23Z</dcterms:created>
  <dcterms:modified xsi:type="dcterms:W3CDTF">2026-07-11T10:23:42Z</dcterms:modified>
</cp:coreProperties>
</file>